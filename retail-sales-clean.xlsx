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solplaatjeuniversity-my.sharepoint.com/personal/202324276_spu_ac_za/Documents/"/>
    </mc:Choice>
  </mc:AlternateContent>
  <xr:revisionPtr revIDLastSave="2415" documentId="8_{BF3B9BD0-B9E5-4E32-979D-A7B6E23A5721}" xr6:coauthVersionLast="47" xr6:coauthVersionMax="47" xr10:uidLastSave="{7A280541-9AAC-479C-9DCC-8F78846FF06D}"/>
  <bookViews>
    <workbookView xWindow="-120" yWindow="-120" windowWidth="20730" windowHeight="11760" activeTab="2" xr2:uid="{CA7A343A-1275-480C-9E35-3C0D52B04F5D}"/>
  </bookViews>
  <sheets>
    <sheet name="Retail Sales" sheetId="1" r:id="rId1"/>
    <sheet name="Calculations" sheetId="2" r:id="rId2"/>
    <sheet name="Dashboard" sheetId="3" r:id="rId3"/>
  </sheets>
  <definedNames>
    <definedName name="Slicer_Category">#N/A</definedName>
    <definedName name="Slicer_Month">#N/A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1" i="1" l="1"/>
  <c r="M8" i="1"/>
  <c r="M5" i="1"/>
  <c r="M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2" i="1"/>
  <c r="C224" i="1"/>
  <c r="C240" i="1"/>
  <c r="C368" i="1"/>
  <c r="C419" i="1"/>
  <c r="C428" i="1"/>
  <c r="C536" i="1"/>
  <c r="C537" i="1"/>
  <c r="C585" i="1"/>
  <c r="C586" i="1"/>
  <c r="C668" i="1"/>
  <c r="C677" i="1"/>
  <c r="C694" i="1"/>
  <c r="C717" i="1"/>
  <c r="C800" i="1"/>
  <c r="C838" i="1"/>
  <c r="C851" i="1"/>
  <c r="C852" i="1"/>
  <c r="C874" i="1"/>
  <c r="C893" i="1"/>
  <c r="C933" i="1"/>
  <c r="C959" i="1"/>
  <c r="C968" i="1"/>
  <c r="C969" i="1"/>
  <c r="C1053" i="1"/>
  <c r="C1054" i="1"/>
  <c r="C1083" i="1"/>
  <c r="C1084" i="1"/>
  <c r="C1102" i="1"/>
  <c r="C1103" i="1"/>
  <c r="C1105" i="1"/>
  <c r="C1167" i="1"/>
  <c r="C1173" i="1"/>
  <c r="C1208" i="1"/>
  <c r="C1209" i="1"/>
  <c r="C1215" i="1"/>
  <c r="C1233" i="1"/>
  <c r="C1240" i="1"/>
  <c r="C1269" i="1"/>
  <c r="C1293" i="1"/>
  <c r="C1294" i="1"/>
  <c r="C1312" i="1"/>
  <c r="C1335" i="1"/>
  <c r="C1336" i="1"/>
  <c r="C1340" i="1"/>
  <c r="C1352" i="1"/>
  <c r="C1388" i="1"/>
  <c r="C1389" i="1"/>
  <c r="C1392" i="1"/>
  <c r="C1393" i="1"/>
  <c r="C1449" i="1"/>
  <c r="C1451" i="1"/>
  <c r="C1461" i="1"/>
  <c r="C1464" i="1"/>
  <c r="C1469" i="1"/>
  <c r="C1508" i="1"/>
  <c r="C1521" i="1"/>
  <c r="C1523" i="1"/>
  <c r="C1556" i="1"/>
  <c r="C1563" i="1"/>
  <c r="C1565" i="1"/>
  <c r="C1566" i="1"/>
  <c r="C1600" i="1"/>
  <c r="C1601" i="1"/>
  <c r="C1617" i="1"/>
  <c r="C1619" i="1"/>
  <c r="C1628" i="1"/>
  <c r="C1652" i="1"/>
  <c r="C1653" i="1"/>
  <c r="C1665" i="1"/>
  <c r="C1667" i="1"/>
  <c r="C1668" i="1"/>
  <c r="C1719" i="1"/>
  <c r="C1720" i="1"/>
  <c r="C1736" i="1"/>
  <c r="C1737" i="1"/>
  <c r="C1773" i="1"/>
  <c r="C1774" i="1"/>
  <c r="C1785" i="1"/>
  <c r="C1786" i="1"/>
  <c r="C1787" i="1"/>
  <c r="C1805" i="1"/>
  <c r="C1809" i="1"/>
  <c r="B3" i="1"/>
  <c r="C3" i="1" s="1"/>
  <c r="B4" i="1"/>
  <c r="C4" i="1" s="1"/>
  <c r="B5" i="1"/>
  <c r="C5" i="1" s="1"/>
  <c r="B6" i="1"/>
  <c r="C6" i="1" s="1"/>
  <c r="B7" i="1"/>
  <c r="C7" i="1" s="1"/>
  <c r="B8" i="1"/>
  <c r="C8" i="1" s="1"/>
  <c r="B9" i="1"/>
  <c r="C9" i="1" s="1"/>
  <c r="B10" i="1"/>
  <c r="C10" i="1" s="1"/>
  <c r="B11" i="1"/>
  <c r="C11" i="1" s="1"/>
  <c r="B12" i="1"/>
  <c r="C12" i="1" s="1"/>
  <c r="B13" i="1"/>
  <c r="C13" i="1" s="1"/>
  <c r="B14" i="1"/>
  <c r="C14" i="1" s="1"/>
  <c r="B15" i="1"/>
  <c r="C15" i="1" s="1"/>
  <c r="B16" i="1"/>
  <c r="C16" i="1" s="1"/>
  <c r="B17" i="1"/>
  <c r="C17" i="1" s="1"/>
  <c r="B18" i="1"/>
  <c r="C18" i="1" s="1"/>
  <c r="B19" i="1"/>
  <c r="C19" i="1" s="1"/>
  <c r="B20" i="1"/>
  <c r="C20" i="1" s="1"/>
  <c r="B21" i="1"/>
  <c r="C21" i="1" s="1"/>
  <c r="B22" i="1"/>
  <c r="C22" i="1" s="1"/>
  <c r="B23" i="1"/>
  <c r="C23" i="1" s="1"/>
  <c r="B24" i="1"/>
  <c r="C24" i="1" s="1"/>
  <c r="B25" i="1"/>
  <c r="C25" i="1" s="1"/>
  <c r="B26" i="1"/>
  <c r="C26" i="1" s="1"/>
  <c r="B27" i="1"/>
  <c r="C27" i="1" s="1"/>
  <c r="B28" i="1"/>
  <c r="C28" i="1" s="1"/>
  <c r="B29" i="1"/>
  <c r="C29" i="1" s="1"/>
  <c r="B30" i="1"/>
  <c r="C30" i="1" s="1"/>
  <c r="B31" i="1"/>
  <c r="C31" i="1" s="1"/>
  <c r="B32" i="1"/>
  <c r="C32" i="1" s="1"/>
  <c r="B33" i="1"/>
  <c r="C33" i="1" s="1"/>
  <c r="B34" i="1"/>
  <c r="C34" i="1" s="1"/>
  <c r="B35" i="1"/>
  <c r="C35" i="1" s="1"/>
  <c r="B36" i="1"/>
  <c r="C36" i="1" s="1"/>
  <c r="B37" i="1"/>
  <c r="C37" i="1" s="1"/>
  <c r="B38" i="1"/>
  <c r="C38" i="1" s="1"/>
  <c r="B39" i="1"/>
  <c r="C39" i="1" s="1"/>
  <c r="B40" i="1"/>
  <c r="C40" i="1" s="1"/>
  <c r="B41" i="1"/>
  <c r="C41" i="1" s="1"/>
  <c r="B42" i="1"/>
  <c r="C42" i="1" s="1"/>
  <c r="B43" i="1"/>
  <c r="C43" i="1" s="1"/>
  <c r="B44" i="1"/>
  <c r="C44" i="1" s="1"/>
  <c r="B45" i="1"/>
  <c r="C45" i="1" s="1"/>
  <c r="B46" i="1"/>
  <c r="C46" i="1" s="1"/>
  <c r="B47" i="1"/>
  <c r="C47" i="1" s="1"/>
  <c r="B48" i="1"/>
  <c r="C48" i="1" s="1"/>
  <c r="B49" i="1"/>
  <c r="C49" i="1" s="1"/>
  <c r="B50" i="1"/>
  <c r="C50" i="1" s="1"/>
  <c r="B51" i="1"/>
  <c r="C51" i="1" s="1"/>
  <c r="B52" i="1"/>
  <c r="C52" i="1" s="1"/>
  <c r="B53" i="1"/>
  <c r="C53" i="1" s="1"/>
  <c r="B54" i="1"/>
  <c r="C54" i="1" s="1"/>
  <c r="B55" i="1"/>
  <c r="C55" i="1" s="1"/>
  <c r="B56" i="1"/>
  <c r="C56" i="1" s="1"/>
  <c r="B57" i="1"/>
  <c r="C57" i="1" s="1"/>
  <c r="B58" i="1"/>
  <c r="C58" i="1" s="1"/>
  <c r="B59" i="1"/>
  <c r="C59" i="1" s="1"/>
  <c r="B60" i="1"/>
  <c r="C60" i="1" s="1"/>
  <c r="B61" i="1"/>
  <c r="C61" i="1" s="1"/>
  <c r="B62" i="1"/>
  <c r="C62" i="1" s="1"/>
  <c r="B63" i="1"/>
  <c r="C63" i="1" s="1"/>
  <c r="B64" i="1"/>
  <c r="C64" i="1" s="1"/>
  <c r="B65" i="1"/>
  <c r="C65" i="1" s="1"/>
  <c r="B66" i="1"/>
  <c r="C66" i="1" s="1"/>
  <c r="B67" i="1"/>
  <c r="C67" i="1" s="1"/>
  <c r="B68" i="1"/>
  <c r="C68" i="1" s="1"/>
  <c r="B69" i="1"/>
  <c r="C69" i="1" s="1"/>
  <c r="B70" i="1"/>
  <c r="C70" i="1" s="1"/>
  <c r="B71" i="1"/>
  <c r="C71" i="1" s="1"/>
  <c r="B72" i="1"/>
  <c r="C72" i="1" s="1"/>
  <c r="B73" i="1"/>
  <c r="C73" i="1" s="1"/>
  <c r="B74" i="1"/>
  <c r="C74" i="1" s="1"/>
  <c r="B75" i="1"/>
  <c r="C75" i="1" s="1"/>
  <c r="B76" i="1"/>
  <c r="C76" i="1" s="1"/>
  <c r="B77" i="1"/>
  <c r="C77" i="1" s="1"/>
  <c r="B78" i="1"/>
  <c r="C78" i="1" s="1"/>
  <c r="B79" i="1"/>
  <c r="C79" i="1" s="1"/>
  <c r="B80" i="1"/>
  <c r="C80" i="1" s="1"/>
  <c r="B81" i="1"/>
  <c r="C81" i="1" s="1"/>
  <c r="B82" i="1"/>
  <c r="C82" i="1" s="1"/>
  <c r="B83" i="1"/>
  <c r="C83" i="1" s="1"/>
  <c r="B84" i="1"/>
  <c r="C84" i="1" s="1"/>
  <c r="B85" i="1"/>
  <c r="C85" i="1" s="1"/>
  <c r="B86" i="1"/>
  <c r="C86" i="1" s="1"/>
  <c r="B87" i="1"/>
  <c r="C87" i="1" s="1"/>
  <c r="B88" i="1"/>
  <c r="C88" i="1" s="1"/>
  <c r="B89" i="1"/>
  <c r="C89" i="1" s="1"/>
  <c r="B90" i="1"/>
  <c r="C90" i="1" s="1"/>
  <c r="B91" i="1"/>
  <c r="C91" i="1" s="1"/>
  <c r="B92" i="1"/>
  <c r="C92" i="1" s="1"/>
  <c r="B93" i="1"/>
  <c r="C93" i="1" s="1"/>
  <c r="B94" i="1"/>
  <c r="C94" i="1" s="1"/>
  <c r="B95" i="1"/>
  <c r="C95" i="1" s="1"/>
  <c r="B96" i="1"/>
  <c r="C96" i="1" s="1"/>
  <c r="B97" i="1"/>
  <c r="C97" i="1" s="1"/>
  <c r="B98" i="1"/>
  <c r="C98" i="1" s="1"/>
  <c r="B99" i="1"/>
  <c r="C99" i="1" s="1"/>
  <c r="B100" i="1"/>
  <c r="C100" i="1" s="1"/>
  <c r="B101" i="1"/>
  <c r="C101" i="1" s="1"/>
  <c r="B102" i="1"/>
  <c r="C102" i="1" s="1"/>
  <c r="B103" i="1"/>
  <c r="C103" i="1" s="1"/>
  <c r="B104" i="1"/>
  <c r="C104" i="1" s="1"/>
  <c r="B105" i="1"/>
  <c r="C105" i="1" s="1"/>
  <c r="B106" i="1"/>
  <c r="C106" i="1" s="1"/>
  <c r="B107" i="1"/>
  <c r="C107" i="1" s="1"/>
  <c r="B108" i="1"/>
  <c r="C108" i="1" s="1"/>
  <c r="B109" i="1"/>
  <c r="C109" i="1" s="1"/>
  <c r="B110" i="1"/>
  <c r="C110" i="1" s="1"/>
  <c r="B111" i="1"/>
  <c r="C111" i="1" s="1"/>
  <c r="B112" i="1"/>
  <c r="C112" i="1" s="1"/>
  <c r="B113" i="1"/>
  <c r="C113" i="1" s="1"/>
  <c r="B114" i="1"/>
  <c r="C114" i="1" s="1"/>
  <c r="B115" i="1"/>
  <c r="C115" i="1" s="1"/>
  <c r="B116" i="1"/>
  <c r="C116" i="1" s="1"/>
  <c r="B117" i="1"/>
  <c r="C117" i="1" s="1"/>
  <c r="B118" i="1"/>
  <c r="C118" i="1" s="1"/>
  <c r="B119" i="1"/>
  <c r="C119" i="1" s="1"/>
  <c r="B120" i="1"/>
  <c r="C120" i="1" s="1"/>
  <c r="B121" i="1"/>
  <c r="C121" i="1" s="1"/>
  <c r="B122" i="1"/>
  <c r="C122" i="1" s="1"/>
  <c r="B123" i="1"/>
  <c r="C123" i="1" s="1"/>
  <c r="B124" i="1"/>
  <c r="C124" i="1" s="1"/>
  <c r="B125" i="1"/>
  <c r="C125" i="1" s="1"/>
  <c r="B126" i="1"/>
  <c r="C126" i="1" s="1"/>
  <c r="B127" i="1"/>
  <c r="C127" i="1" s="1"/>
  <c r="B128" i="1"/>
  <c r="C128" i="1" s="1"/>
  <c r="B129" i="1"/>
  <c r="C129" i="1" s="1"/>
  <c r="B130" i="1"/>
  <c r="C130" i="1" s="1"/>
  <c r="B131" i="1"/>
  <c r="C131" i="1" s="1"/>
  <c r="B132" i="1"/>
  <c r="C132" i="1" s="1"/>
  <c r="B133" i="1"/>
  <c r="C133" i="1" s="1"/>
  <c r="B134" i="1"/>
  <c r="C134" i="1" s="1"/>
  <c r="B135" i="1"/>
  <c r="C135" i="1" s="1"/>
  <c r="B136" i="1"/>
  <c r="C136" i="1" s="1"/>
  <c r="B137" i="1"/>
  <c r="C137" i="1" s="1"/>
  <c r="B138" i="1"/>
  <c r="C138" i="1" s="1"/>
  <c r="B139" i="1"/>
  <c r="C139" i="1" s="1"/>
  <c r="B140" i="1"/>
  <c r="C140" i="1" s="1"/>
  <c r="B141" i="1"/>
  <c r="C141" i="1" s="1"/>
  <c r="B142" i="1"/>
  <c r="C142" i="1" s="1"/>
  <c r="B143" i="1"/>
  <c r="C143" i="1" s="1"/>
  <c r="B144" i="1"/>
  <c r="C144" i="1" s="1"/>
  <c r="B145" i="1"/>
  <c r="C145" i="1" s="1"/>
  <c r="B146" i="1"/>
  <c r="C146" i="1" s="1"/>
  <c r="B147" i="1"/>
  <c r="C147" i="1" s="1"/>
  <c r="B148" i="1"/>
  <c r="C148" i="1" s="1"/>
  <c r="B149" i="1"/>
  <c r="C149" i="1" s="1"/>
  <c r="B150" i="1"/>
  <c r="C150" i="1" s="1"/>
  <c r="B151" i="1"/>
  <c r="C151" i="1" s="1"/>
  <c r="B152" i="1"/>
  <c r="C152" i="1" s="1"/>
  <c r="B153" i="1"/>
  <c r="C153" i="1" s="1"/>
  <c r="B154" i="1"/>
  <c r="C154" i="1" s="1"/>
  <c r="B155" i="1"/>
  <c r="C155" i="1" s="1"/>
  <c r="B156" i="1"/>
  <c r="C156" i="1" s="1"/>
  <c r="B157" i="1"/>
  <c r="C157" i="1" s="1"/>
  <c r="B158" i="1"/>
  <c r="C158" i="1" s="1"/>
  <c r="B159" i="1"/>
  <c r="C159" i="1" s="1"/>
  <c r="B160" i="1"/>
  <c r="C160" i="1" s="1"/>
  <c r="B161" i="1"/>
  <c r="C161" i="1" s="1"/>
  <c r="B162" i="1"/>
  <c r="C162" i="1" s="1"/>
  <c r="B163" i="1"/>
  <c r="C163" i="1" s="1"/>
  <c r="B164" i="1"/>
  <c r="C164" i="1" s="1"/>
  <c r="B165" i="1"/>
  <c r="C165" i="1" s="1"/>
  <c r="B166" i="1"/>
  <c r="C166" i="1" s="1"/>
  <c r="B167" i="1"/>
  <c r="C167" i="1" s="1"/>
  <c r="B168" i="1"/>
  <c r="C168" i="1" s="1"/>
  <c r="B169" i="1"/>
  <c r="C169" i="1" s="1"/>
  <c r="B170" i="1"/>
  <c r="C170" i="1" s="1"/>
  <c r="B171" i="1"/>
  <c r="C171" i="1" s="1"/>
  <c r="B172" i="1"/>
  <c r="C172" i="1" s="1"/>
  <c r="B173" i="1"/>
  <c r="C173" i="1" s="1"/>
  <c r="B174" i="1"/>
  <c r="C174" i="1" s="1"/>
  <c r="B175" i="1"/>
  <c r="C175" i="1" s="1"/>
  <c r="B176" i="1"/>
  <c r="C176" i="1" s="1"/>
  <c r="B177" i="1"/>
  <c r="C177" i="1" s="1"/>
  <c r="B178" i="1"/>
  <c r="C178" i="1" s="1"/>
  <c r="B179" i="1"/>
  <c r="C179" i="1" s="1"/>
  <c r="B180" i="1"/>
  <c r="C180" i="1" s="1"/>
  <c r="B181" i="1"/>
  <c r="C181" i="1" s="1"/>
  <c r="B182" i="1"/>
  <c r="C182" i="1" s="1"/>
  <c r="B183" i="1"/>
  <c r="C183" i="1" s="1"/>
  <c r="B184" i="1"/>
  <c r="C184" i="1" s="1"/>
  <c r="B185" i="1"/>
  <c r="C185" i="1" s="1"/>
  <c r="B186" i="1"/>
  <c r="C186" i="1" s="1"/>
  <c r="B187" i="1"/>
  <c r="C187" i="1" s="1"/>
  <c r="B188" i="1"/>
  <c r="C188" i="1" s="1"/>
  <c r="B189" i="1"/>
  <c r="C189" i="1" s="1"/>
  <c r="B190" i="1"/>
  <c r="C190" i="1" s="1"/>
  <c r="B191" i="1"/>
  <c r="C191" i="1" s="1"/>
  <c r="B192" i="1"/>
  <c r="C192" i="1" s="1"/>
  <c r="B193" i="1"/>
  <c r="C193" i="1" s="1"/>
  <c r="B194" i="1"/>
  <c r="C194" i="1" s="1"/>
  <c r="B195" i="1"/>
  <c r="C195" i="1" s="1"/>
  <c r="B196" i="1"/>
  <c r="C196" i="1" s="1"/>
  <c r="B197" i="1"/>
  <c r="C197" i="1" s="1"/>
  <c r="B198" i="1"/>
  <c r="C198" i="1" s="1"/>
  <c r="B199" i="1"/>
  <c r="C199" i="1" s="1"/>
  <c r="B200" i="1"/>
  <c r="C200" i="1" s="1"/>
  <c r="B201" i="1"/>
  <c r="C201" i="1" s="1"/>
  <c r="B202" i="1"/>
  <c r="C202" i="1" s="1"/>
  <c r="B203" i="1"/>
  <c r="C203" i="1" s="1"/>
  <c r="B204" i="1"/>
  <c r="C204" i="1" s="1"/>
  <c r="B205" i="1"/>
  <c r="C205" i="1" s="1"/>
  <c r="B206" i="1"/>
  <c r="C206" i="1" s="1"/>
  <c r="B207" i="1"/>
  <c r="C207" i="1" s="1"/>
  <c r="B208" i="1"/>
  <c r="C208" i="1" s="1"/>
  <c r="B209" i="1"/>
  <c r="C209" i="1" s="1"/>
  <c r="B210" i="1"/>
  <c r="C210" i="1" s="1"/>
  <c r="B211" i="1"/>
  <c r="C211" i="1" s="1"/>
  <c r="B212" i="1"/>
  <c r="C212" i="1" s="1"/>
  <c r="B213" i="1"/>
  <c r="C213" i="1" s="1"/>
  <c r="B214" i="1"/>
  <c r="C214" i="1" s="1"/>
  <c r="B215" i="1"/>
  <c r="C215" i="1" s="1"/>
  <c r="B216" i="1"/>
  <c r="C216" i="1" s="1"/>
  <c r="B217" i="1"/>
  <c r="C217" i="1" s="1"/>
  <c r="B218" i="1"/>
  <c r="C218" i="1" s="1"/>
  <c r="B219" i="1"/>
  <c r="C219" i="1" s="1"/>
  <c r="B220" i="1"/>
  <c r="C220" i="1" s="1"/>
  <c r="B221" i="1"/>
  <c r="C221" i="1" s="1"/>
  <c r="B222" i="1"/>
  <c r="C222" i="1" s="1"/>
  <c r="B223" i="1"/>
  <c r="C223" i="1" s="1"/>
  <c r="B224" i="1"/>
  <c r="B225" i="1"/>
  <c r="C225" i="1" s="1"/>
  <c r="B226" i="1"/>
  <c r="C226" i="1" s="1"/>
  <c r="B227" i="1"/>
  <c r="C227" i="1" s="1"/>
  <c r="B228" i="1"/>
  <c r="C228" i="1" s="1"/>
  <c r="B229" i="1"/>
  <c r="C229" i="1" s="1"/>
  <c r="B230" i="1"/>
  <c r="C230" i="1" s="1"/>
  <c r="B231" i="1"/>
  <c r="C231" i="1" s="1"/>
  <c r="B232" i="1"/>
  <c r="C232" i="1" s="1"/>
  <c r="B233" i="1"/>
  <c r="C233" i="1" s="1"/>
  <c r="B234" i="1"/>
  <c r="C234" i="1" s="1"/>
  <c r="B235" i="1"/>
  <c r="C235" i="1" s="1"/>
  <c r="B236" i="1"/>
  <c r="C236" i="1" s="1"/>
  <c r="B237" i="1"/>
  <c r="C237" i="1" s="1"/>
  <c r="B238" i="1"/>
  <c r="C238" i="1" s="1"/>
  <c r="B239" i="1"/>
  <c r="C239" i="1" s="1"/>
  <c r="B240" i="1"/>
  <c r="B241" i="1"/>
  <c r="C241" i="1" s="1"/>
  <c r="B242" i="1"/>
  <c r="C242" i="1" s="1"/>
  <c r="B243" i="1"/>
  <c r="C243" i="1" s="1"/>
  <c r="B244" i="1"/>
  <c r="C244" i="1" s="1"/>
  <c r="B245" i="1"/>
  <c r="C245" i="1" s="1"/>
  <c r="B246" i="1"/>
  <c r="C246" i="1" s="1"/>
  <c r="B247" i="1"/>
  <c r="C247" i="1" s="1"/>
  <c r="B248" i="1"/>
  <c r="C248" i="1" s="1"/>
  <c r="B249" i="1"/>
  <c r="C249" i="1" s="1"/>
  <c r="B250" i="1"/>
  <c r="C250" i="1" s="1"/>
  <c r="B251" i="1"/>
  <c r="C251" i="1" s="1"/>
  <c r="B252" i="1"/>
  <c r="C252" i="1" s="1"/>
  <c r="B253" i="1"/>
  <c r="C253" i="1" s="1"/>
  <c r="B254" i="1"/>
  <c r="C254" i="1" s="1"/>
  <c r="B255" i="1"/>
  <c r="C255" i="1" s="1"/>
  <c r="B256" i="1"/>
  <c r="C256" i="1" s="1"/>
  <c r="B257" i="1"/>
  <c r="C257" i="1" s="1"/>
  <c r="B258" i="1"/>
  <c r="C258" i="1" s="1"/>
  <c r="B259" i="1"/>
  <c r="C259" i="1" s="1"/>
  <c r="B260" i="1"/>
  <c r="C260" i="1" s="1"/>
  <c r="B261" i="1"/>
  <c r="C261" i="1" s="1"/>
  <c r="B262" i="1"/>
  <c r="C262" i="1" s="1"/>
  <c r="B263" i="1"/>
  <c r="C263" i="1" s="1"/>
  <c r="B264" i="1"/>
  <c r="C264" i="1" s="1"/>
  <c r="B265" i="1"/>
  <c r="C265" i="1" s="1"/>
  <c r="B266" i="1"/>
  <c r="C266" i="1" s="1"/>
  <c r="B267" i="1"/>
  <c r="C267" i="1" s="1"/>
  <c r="B268" i="1"/>
  <c r="C268" i="1" s="1"/>
  <c r="B269" i="1"/>
  <c r="C269" i="1" s="1"/>
  <c r="B270" i="1"/>
  <c r="C270" i="1" s="1"/>
  <c r="B271" i="1"/>
  <c r="C271" i="1" s="1"/>
  <c r="B272" i="1"/>
  <c r="C272" i="1" s="1"/>
  <c r="B273" i="1"/>
  <c r="C273" i="1" s="1"/>
  <c r="B274" i="1"/>
  <c r="C274" i="1" s="1"/>
  <c r="B275" i="1"/>
  <c r="C275" i="1" s="1"/>
  <c r="B276" i="1"/>
  <c r="C276" i="1" s="1"/>
  <c r="B277" i="1"/>
  <c r="C277" i="1" s="1"/>
  <c r="B278" i="1"/>
  <c r="C278" i="1" s="1"/>
  <c r="B279" i="1"/>
  <c r="C279" i="1" s="1"/>
  <c r="B280" i="1"/>
  <c r="C280" i="1" s="1"/>
  <c r="B281" i="1"/>
  <c r="C281" i="1" s="1"/>
  <c r="B282" i="1"/>
  <c r="C282" i="1" s="1"/>
  <c r="B283" i="1"/>
  <c r="C283" i="1" s="1"/>
  <c r="B284" i="1"/>
  <c r="C284" i="1" s="1"/>
  <c r="B285" i="1"/>
  <c r="C285" i="1" s="1"/>
  <c r="B286" i="1"/>
  <c r="C286" i="1" s="1"/>
  <c r="B287" i="1"/>
  <c r="C287" i="1" s="1"/>
  <c r="B288" i="1"/>
  <c r="C288" i="1" s="1"/>
  <c r="B289" i="1"/>
  <c r="C289" i="1" s="1"/>
  <c r="B290" i="1"/>
  <c r="C290" i="1" s="1"/>
  <c r="B291" i="1"/>
  <c r="C291" i="1" s="1"/>
  <c r="B292" i="1"/>
  <c r="C292" i="1" s="1"/>
  <c r="B293" i="1"/>
  <c r="C293" i="1" s="1"/>
  <c r="B294" i="1"/>
  <c r="C294" i="1" s="1"/>
  <c r="B295" i="1"/>
  <c r="C295" i="1" s="1"/>
  <c r="B296" i="1"/>
  <c r="C296" i="1" s="1"/>
  <c r="B297" i="1"/>
  <c r="C297" i="1" s="1"/>
  <c r="B298" i="1"/>
  <c r="C298" i="1" s="1"/>
  <c r="B299" i="1"/>
  <c r="C299" i="1" s="1"/>
  <c r="B300" i="1"/>
  <c r="C300" i="1" s="1"/>
  <c r="B301" i="1"/>
  <c r="C301" i="1" s="1"/>
  <c r="B302" i="1"/>
  <c r="C302" i="1" s="1"/>
  <c r="B303" i="1"/>
  <c r="C303" i="1" s="1"/>
  <c r="B304" i="1"/>
  <c r="C304" i="1" s="1"/>
  <c r="B305" i="1"/>
  <c r="C305" i="1" s="1"/>
  <c r="B306" i="1"/>
  <c r="C306" i="1" s="1"/>
  <c r="B307" i="1"/>
  <c r="C307" i="1" s="1"/>
  <c r="B308" i="1"/>
  <c r="C308" i="1" s="1"/>
  <c r="B309" i="1"/>
  <c r="C309" i="1" s="1"/>
  <c r="B310" i="1"/>
  <c r="C310" i="1" s="1"/>
  <c r="B311" i="1"/>
  <c r="C311" i="1" s="1"/>
  <c r="B312" i="1"/>
  <c r="C312" i="1" s="1"/>
  <c r="B313" i="1"/>
  <c r="C313" i="1" s="1"/>
  <c r="B314" i="1"/>
  <c r="C314" i="1" s="1"/>
  <c r="B315" i="1"/>
  <c r="C315" i="1" s="1"/>
  <c r="B316" i="1"/>
  <c r="C316" i="1" s="1"/>
  <c r="B317" i="1"/>
  <c r="C317" i="1" s="1"/>
  <c r="B318" i="1"/>
  <c r="C318" i="1" s="1"/>
  <c r="B319" i="1"/>
  <c r="C319" i="1" s="1"/>
  <c r="B320" i="1"/>
  <c r="C320" i="1" s="1"/>
  <c r="B321" i="1"/>
  <c r="C321" i="1" s="1"/>
  <c r="B322" i="1"/>
  <c r="C322" i="1" s="1"/>
  <c r="B323" i="1"/>
  <c r="C323" i="1" s="1"/>
  <c r="B324" i="1"/>
  <c r="C324" i="1" s="1"/>
  <c r="B325" i="1"/>
  <c r="C325" i="1" s="1"/>
  <c r="B326" i="1"/>
  <c r="C326" i="1" s="1"/>
  <c r="B327" i="1"/>
  <c r="C327" i="1" s="1"/>
  <c r="B328" i="1"/>
  <c r="C328" i="1" s="1"/>
  <c r="B329" i="1"/>
  <c r="C329" i="1" s="1"/>
  <c r="B330" i="1"/>
  <c r="C330" i="1" s="1"/>
  <c r="B331" i="1"/>
  <c r="C331" i="1" s="1"/>
  <c r="B332" i="1"/>
  <c r="C332" i="1" s="1"/>
  <c r="B333" i="1"/>
  <c r="C333" i="1" s="1"/>
  <c r="B334" i="1"/>
  <c r="C334" i="1" s="1"/>
  <c r="B335" i="1"/>
  <c r="C335" i="1" s="1"/>
  <c r="B336" i="1"/>
  <c r="C336" i="1" s="1"/>
  <c r="B337" i="1"/>
  <c r="C337" i="1" s="1"/>
  <c r="B338" i="1"/>
  <c r="C338" i="1" s="1"/>
  <c r="B339" i="1"/>
  <c r="C339" i="1" s="1"/>
  <c r="B340" i="1"/>
  <c r="C340" i="1" s="1"/>
  <c r="B341" i="1"/>
  <c r="C341" i="1" s="1"/>
  <c r="B342" i="1"/>
  <c r="C342" i="1" s="1"/>
  <c r="B343" i="1"/>
  <c r="C343" i="1" s="1"/>
  <c r="B344" i="1"/>
  <c r="C344" i="1" s="1"/>
  <c r="B345" i="1"/>
  <c r="C345" i="1" s="1"/>
  <c r="B346" i="1"/>
  <c r="C346" i="1" s="1"/>
  <c r="B347" i="1"/>
  <c r="C347" i="1" s="1"/>
  <c r="B348" i="1"/>
  <c r="C348" i="1" s="1"/>
  <c r="B349" i="1"/>
  <c r="C349" i="1" s="1"/>
  <c r="B350" i="1"/>
  <c r="C350" i="1" s="1"/>
  <c r="B351" i="1"/>
  <c r="C351" i="1" s="1"/>
  <c r="B352" i="1"/>
  <c r="C352" i="1" s="1"/>
  <c r="B353" i="1"/>
  <c r="C353" i="1" s="1"/>
  <c r="B354" i="1"/>
  <c r="C354" i="1" s="1"/>
  <c r="B355" i="1"/>
  <c r="C355" i="1" s="1"/>
  <c r="B356" i="1"/>
  <c r="C356" i="1" s="1"/>
  <c r="B357" i="1"/>
  <c r="C357" i="1" s="1"/>
  <c r="B358" i="1"/>
  <c r="C358" i="1" s="1"/>
  <c r="B359" i="1"/>
  <c r="C359" i="1" s="1"/>
  <c r="B360" i="1"/>
  <c r="C360" i="1" s="1"/>
  <c r="B361" i="1"/>
  <c r="C361" i="1" s="1"/>
  <c r="B362" i="1"/>
  <c r="C362" i="1" s="1"/>
  <c r="B363" i="1"/>
  <c r="C363" i="1" s="1"/>
  <c r="B364" i="1"/>
  <c r="C364" i="1" s="1"/>
  <c r="B365" i="1"/>
  <c r="C365" i="1" s="1"/>
  <c r="B366" i="1"/>
  <c r="C366" i="1" s="1"/>
  <c r="B367" i="1"/>
  <c r="C367" i="1" s="1"/>
  <c r="B368" i="1"/>
  <c r="B369" i="1"/>
  <c r="C369" i="1" s="1"/>
  <c r="B370" i="1"/>
  <c r="C370" i="1" s="1"/>
  <c r="B371" i="1"/>
  <c r="C371" i="1" s="1"/>
  <c r="B372" i="1"/>
  <c r="C372" i="1" s="1"/>
  <c r="B373" i="1"/>
  <c r="C373" i="1" s="1"/>
  <c r="B374" i="1"/>
  <c r="C374" i="1" s="1"/>
  <c r="B375" i="1"/>
  <c r="C375" i="1" s="1"/>
  <c r="B376" i="1"/>
  <c r="C376" i="1" s="1"/>
  <c r="B377" i="1"/>
  <c r="C377" i="1" s="1"/>
  <c r="B378" i="1"/>
  <c r="C378" i="1" s="1"/>
  <c r="B379" i="1"/>
  <c r="C379" i="1" s="1"/>
  <c r="B380" i="1"/>
  <c r="C380" i="1" s="1"/>
  <c r="B381" i="1"/>
  <c r="C381" i="1" s="1"/>
  <c r="B382" i="1"/>
  <c r="C382" i="1" s="1"/>
  <c r="B383" i="1"/>
  <c r="C383" i="1" s="1"/>
  <c r="B384" i="1"/>
  <c r="C384" i="1" s="1"/>
  <c r="B385" i="1"/>
  <c r="C385" i="1" s="1"/>
  <c r="B386" i="1"/>
  <c r="C386" i="1" s="1"/>
  <c r="B387" i="1"/>
  <c r="C387" i="1" s="1"/>
  <c r="B388" i="1"/>
  <c r="C388" i="1" s="1"/>
  <c r="B389" i="1"/>
  <c r="C389" i="1" s="1"/>
  <c r="B390" i="1"/>
  <c r="C390" i="1" s="1"/>
  <c r="B391" i="1"/>
  <c r="C391" i="1" s="1"/>
  <c r="B392" i="1"/>
  <c r="C392" i="1" s="1"/>
  <c r="B393" i="1"/>
  <c r="C393" i="1" s="1"/>
  <c r="B394" i="1"/>
  <c r="C394" i="1" s="1"/>
  <c r="B395" i="1"/>
  <c r="C395" i="1" s="1"/>
  <c r="B396" i="1"/>
  <c r="C396" i="1" s="1"/>
  <c r="B397" i="1"/>
  <c r="C397" i="1" s="1"/>
  <c r="B398" i="1"/>
  <c r="C398" i="1" s="1"/>
  <c r="B399" i="1"/>
  <c r="C399" i="1" s="1"/>
  <c r="B400" i="1"/>
  <c r="C400" i="1" s="1"/>
  <c r="B401" i="1"/>
  <c r="C401" i="1" s="1"/>
  <c r="B402" i="1"/>
  <c r="C402" i="1" s="1"/>
  <c r="B403" i="1"/>
  <c r="C403" i="1" s="1"/>
  <c r="B404" i="1"/>
  <c r="C404" i="1" s="1"/>
  <c r="B405" i="1"/>
  <c r="C405" i="1" s="1"/>
  <c r="B406" i="1"/>
  <c r="C406" i="1" s="1"/>
  <c r="B407" i="1"/>
  <c r="C407" i="1" s="1"/>
  <c r="B408" i="1"/>
  <c r="C408" i="1" s="1"/>
  <c r="B409" i="1"/>
  <c r="C409" i="1" s="1"/>
  <c r="B410" i="1"/>
  <c r="C410" i="1" s="1"/>
  <c r="B411" i="1"/>
  <c r="C411" i="1" s="1"/>
  <c r="B412" i="1"/>
  <c r="C412" i="1" s="1"/>
  <c r="B413" i="1"/>
  <c r="C413" i="1" s="1"/>
  <c r="B414" i="1"/>
  <c r="C414" i="1" s="1"/>
  <c r="B415" i="1"/>
  <c r="C415" i="1" s="1"/>
  <c r="B416" i="1"/>
  <c r="C416" i="1" s="1"/>
  <c r="B417" i="1"/>
  <c r="C417" i="1" s="1"/>
  <c r="B418" i="1"/>
  <c r="C418" i="1" s="1"/>
  <c r="B419" i="1"/>
  <c r="B420" i="1"/>
  <c r="C420" i="1" s="1"/>
  <c r="B421" i="1"/>
  <c r="C421" i="1" s="1"/>
  <c r="B422" i="1"/>
  <c r="C422" i="1" s="1"/>
  <c r="B423" i="1"/>
  <c r="C423" i="1" s="1"/>
  <c r="B424" i="1"/>
  <c r="C424" i="1" s="1"/>
  <c r="B425" i="1"/>
  <c r="C425" i="1" s="1"/>
  <c r="B426" i="1"/>
  <c r="C426" i="1" s="1"/>
  <c r="B427" i="1"/>
  <c r="C427" i="1" s="1"/>
  <c r="B428" i="1"/>
  <c r="B429" i="1"/>
  <c r="C429" i="1" s="1"/>
  <c r="B430" i="1"/>
  <c r="C430" i="1" s="1"/>
  <c r="B431" i="1"/>
  <c r="C431" i="1" s="1"/>
  <c r="B432" i="1"/>
  <c r="C432" i="1" s="1"/>
  <c r="B433" i="1"/>
  <c r="C433" i="1" s="1"/>
  <c r="B434" i="1"/>
  <c r="C434" i="1" s="1"/>
  <c r="B435" i="1"/>
  <c r="C435" i="1" s="1"/>
  <c r="B436" i="1"/>
  <c r="C436" i="1" s="1"/>
  <c r="B437" i="1"/>
  <c r="C437" i="1" s="1"/>
  <c r="B438" i="1"/>
  <c r="C438" i="1" s="1"/>
  <c r="B439" i="1"/>
  <c r="C439" i="1" s="1"/>
  <c r="B440" i="1"/>
  <c r="C440" i="1" s="1"/>
  <c r="B441" i="1"/>
  <c r="C441" i="1" s="1"/>
  <c r="B442" i="1"/>
  <c r="C442" i="1" s="1"/>
  <c r="B443" i="1"/>
  <c r="C443" i="1" s="1"/>
  <c r="B444" i="1"/>
  <c r="C444" i="1" s="1"/>
  <c r="B445" i="1"/>
  <c r="C445" i="1" s="1"/>
  <c r="B446" i="1"/>
  <c r="C446" i="1" s="1"/>
  <c r="B447" i="1"/>
  <c r="C447" i="1" s="1"/>
  <c r="B448" i="1"/>
  <c r="C448" i="1" s="1"/>
  <c r="B449" i="1"/>
  <c r="C449" i="1" s="1"/>
  <c r="B450" i="1"/>
  <c r="C450" i="1" s="1"/>
  <c r="B451" i="1"/>
  <c r="C451" i="1" s="1"/>
  <c r="B452" i="1"/>
  <c r="C452" i="1" s="1"/>
  <c r="B453" i="1"/>
  <c r="C453" i="1" s="1"/>
  <c r="B454" i="1"/>
  <c r="C454" i="1" s="1"/>
  <c r="B455" i="1"/>
  <c r="C455" i="1" s="1"/>
  <c r="B456" i="1"/>
  <c r="C456" i="1" s="1"/>
  <c r="B457" i="1"/>
  <c r="C457" i="1" s="1"/>
  <c r="B458" i="1"/>
  <c r="C458" i="1" s="1"/>
  <c r="B459" i="1"/>
  <c r="C459" i="1" s="1"/>
  <c r="B460" i="1"/>
  <c r="C460" i="1" s="1"/>
  <c r="B461" i="1"/>
  <c r="C461" i="1" s="1"/>
  <c r="B462" i="1"/>
  <c r="C462" i="1" s="1"/>
  <c r="B463" i="1"/>
  <c r="C463" i="1" s="1"/>
  <c r="B464" i="1"/>
  <c r="C464" i="1" s="1"/>
  <c r="B465" i="1"/>
  <c r="C465" i="1" s="1"/>
  <c r="B466" i="1"/>
  <c r="C466" i="1" s="1"/>
  <c r="B467" i="1"/>
  <c r="C467" i="1" s="1"/>
  <c r="B468" i="1"/>
  <c r="C468" i="1" s="1"/>
  <c r="B469" i="1"/>
  <c r="C469" i="1" s="1"/>
  <c r="B470" i="1"/>
  <c r="C470" i="1" s="1"/>
  <c r="B471" i="1"/>
  <c r="C471" i="1" s="1"/>
  <c r="B472" i="1"/>
  <c r="C472" i="1" s="1"/>
  <c r="B473" i="1"/>
  <c r="C473" i="1" s="1"/>
  <c r="B474" i="1"/>
  <c r="C474" i="1" s="1"/>
  <c r="B475" i="1"/>
  <c r="C475" i="1" s="1"/>
  <c r="B476" i="1"/>
  <c r="C476" i="1" s="1"/>
  <c r="B477" i="1"/>
  <c r="C477" i="1" s="1"/>
  <c r="B478" i="1"/>
  <c r="C478" i="1" s="1"/>
  <c r="B479" i="1"/>
  <c r="C479" i="1" s="1"/>
  <c r="B480" i="1"/>
  <c r="C480" i="1" s="1"/>
  <c r="B481" i="1"/>
  <c r="C481" i="1" s="1"/>
  <c r="B482" i="1"/>
  <c r="C482" i="1" s="1"/>
  <c r="B483" i="1"/>
  <c r="C483" i="1" s="1"/>
  <c r="B484" i="1"/>
  <c r="C484" i="1" s="1"/>
  <c r="B485" i="1"/>
  <c r="C485" i="1" s="1"/>
  <c r="B486" i="1"/>
  <c r="C486" i="1" s="1"/>
  <c r="B487" i="1"/>
  <c r="C487" i="1" s="1"/>
  <c r="B488" i="1"/>
  <c r="C488" i="1" s="1"/>
  <c r="B489" i="1"/>
  <c r="C489" i="1" s="1"/>
  <c r="B490" i="1"/>
  <c r="C490" i="1" s="1"/>
  <c r="B491" i="1"/>
  <c r="C491" i="1" s="1"/>
  <c r="B492" i="1"/>
  <c r="C492" i="1" s="1"/>
  <c r="B493" i="1"/>
  <c r="C493" i="1" s="1"/>
  <c r="B494" i="1"/>
  <c r="C494" i="1" s="1"/>
  <c r="B495" i="1"/>
  <c r="C495" i="1" s="1"/>
  <c r="B496" i="1"/>
  <c r="C496" i="1" s="1"/>
  <c r="B497" i="1"/>
  <c r="C497" i="1" s="1"/>
  <c r="B498" i="1"/>
  <c r="C498" i="1" s="1"/>
  <c r="B499" i="1"/>
  <c r="C499" i="1" s="1"/>
  <c r="B500" i="1"/>
  <c r="C500" i="1" s="1"/>
  <c r="B501" i="1"/>
  <c r="C501" i="1" s="1"/>
  <c r="B502" i="1"/>
  <c r="C502" i="1" s="1"/>
  <c r="B503" i="1"/>
  <c r="C503" i="1" s="1"/>
  <c r="B504" i="1"/>
  <c r="C504" i="1" s="1"/>
  <c r="B505" i="1"/>
  <c r="C505" i="1" s="1"/>
  <c r="B506" i="1"/>
  <c r="C506" i="1" s="1"/>
  <c r="B507" i="1"/>
  <c r="C507" i="1" s="1"/>
  <c r="B508" i="1"/>
  <c r="C508" i="1" s="1"/>
  <c r="B509" i="1"/>
  <c r="C509" i="1" s="1"/>
  <c r="B510" i="1"/>
  <c r="C510" i="1" s="1"/>
  <c r="B511" i="1"/>
  <c r="C511" i="1" s="1"/>
  <c r="B512" i="1"/>
  <c r="C512" i="1" s="1"/>
  <c r="B513" i="1"/>
  <c r="C513" i="1" s="1"/>
  <c r="B514" i="1"/>
  <c r="C514" i="1" s="1"/>
  <c r="B515" i="1"/>
  <c r="C515" i="1" s="1"/>
  <c r="B516" i="1"/>
  <c r="C516" i="1" s="1"/>
  <c r="B517" i="1"/>
  <c r="C517" i="1" s="1"/>
  <c r="B518" i="1"/>
  <c r="C518" i="1" s="1"/>
  <c r="B519" i="1"/>
  <c r="C519" i="1" s="1"/>
  <c r="B520" i="1"/>
  <c r="C520" i="1" s="1"/>
  <c r="B521" i="1"/>
  <c r="C521" i="1" s="1"/>
  <c r="B522" i="1"/>
  <c r="C522" i="1" s="1"/>
  <c r="B523" i="1"/>
  <c r="C523" i="1" s="1"/>
  <c r="B524" i="1"/>
  <c r="C524" i="1" s="1"/>
  <c r="B525" i="1"/>
  <c r="C525" i="1" s="1"/>
  <c r="B526" i="1"/>
  <c r="C526" i="1" s="1"/>
  <c r="B527" i="1"/>
  <c r="C527" i="1" s="1"/>
  <c r="B528" i="1"/>
  <c r="C528" i="1" s="1"/>
  <c r="B529" i="1"/>
  <c r="C529" i="1" s="1"/>
  <c r="B530" i="1"/>
  <c r="C530" i="1" s="1"/>
  <c r="B531" i="1"/>
  <c r="C531" i="1" s="1"/>
  <c r="B532" i="1"/>
  <c r="C532" i="1" s="1"/>
  <c r="B533" i="1"/>
  <c r="C533" i="1" s="1"/>
  <c r="B534" i="1"/>
  <c r="C534" i="1" s="1"/>
  <c r="B535" i="1"/>
  <c r="C535" i="1" s="1"/>
  <c r="B536" i="1"/>
  <c r="B537" i="1"/>
  <c r="B538" i="1"/>
  <c r="C538" i="1" s="1"/>
  <c r="B539" i="1"/>
  <c r="C539" i="1" s="1"/>
  <c r="B540" i="1"/>
  <c r="C540" i="1" s="1"/>
  <c r="B541" i="1"/>
  <c r="C541" i="1" s="1"/>
  <c r="B542" i="1"/>
  <c r="C542" i="1" s="1"/>
  <c r="B543" i="1"/>
  <c r="C543" i="1" s="1"/>
  <c r="B544" i="1"/>
  <c r="C544" i="1" s="1"/>
  <c r="B545" i="1"/>
  <c r="C545" i="1" s="1"/>
  <c r="B546" i="1"/>
  <c r="C546" i="1" s="1"/>
  <c r="B547" i="1"/>
  <c r="C547" i="1" s="1"/>
  <c r="B548" i="1"/>
  <c r="C548" i="1" s="1"/>
  <c r="B549" i="1"/>
  <c r="C549" i="1" s="1"/>
  <c r="B550" i="1"/>
  <c r="C550" i="1" s="1"/>
  <c r="B551" i="1"/>
  <c r="C551" i="1" s="1"/>
  <c r="B552" i="1"/>
  <c r="C552" i="1" s="1"/>
  <c r="B553" i="1"/>
  <c r="C553" i="1" s="1"/>
  <c r="B554" i="1"/>
  <c r="C554" i="1" s="1"/>
  <c r="B555" i="1"/>
  <c r="C555" i="1" s="1"/>
  <c r="B556" i="1"/>
  <c r="C556" i="1" s="1"/>
  <c r="B557" i="1"/>
  <c r="C557" i="1" s="1"/>
  <c r="B558" i="1"/>
  <c r="C558" i="1" s="1"/>
  <c r="B559" i="1"/>
  <c r="C559" i="1" s="1"/>
  <c r="B560" i="1"/>
  <c r="C560" i="1" s="1"/>
  <c r="B561" i="1"/>
  <c r="C561" i="1" s="1"/>
  <c r="B562" i="1"/>
  <c r="C562" i="1" s="1"/>
  <c r="B563" i="1"/>
  <c r="C563" i="1" s="1"/>
  <c r="B564" i="1"/>
  <c r="C564" i="1" s="1"/>
  <c r="B565" i="1"/>
  <c r="C565" i="1" s="1"/>
  <c r="B566" i="1"/>
  <c r="C566" i="1" s="1"/>
  <c r="B567" i="1"/>
  <c r="C567" i="1" s="1"/>
  <c r="B568" i="1"/>
  <c r="C568" i="1" s="1"/>
  <c r="B569" i="1"/>
  <c r="C569" i="1" s="1"/>
  <c r="B570" i="1"/>
  <c r="C570" i="1" s="1"/>
  <c r="B571" i="1"/>
  <c r="C571" i="1" s="1"/>
  <c r="B572" i="1"/>
  <c r="C572" i="1" s="1"/>
  <c r="B573" i="1"/>
  <c r="C573" i="1" s="1"/>
  <c r="B574" i="1"/>
  <c r="C574" i="1" s="1"/>
  <c r="B575" i="1"/>
  <c r="C575" i="1" s="1"/>
  <c r="B576" i="1"/>
  <c r="C576" i="1" s="1"/>
  <c r="B577" i="1"/>
  <c r="C577" i="1" s="1"/>
  <c r="B578" i="1"/>
  <c r="C578" i="1" s="1"/>
  <c r="B579" i="1"/>
  <c r="C579" i="1" s="1"/>
  <c r="B580" i="1"/>
  <c r="C580" i="1" s="1"/>
  <c r="B581" i="1"/>
  <c r="C581" i="1" s="1"/>
  <c r="B582" i="1"/>
  <c r="C582" i="1" s="1"/>
  <c r="B583" i="1"/>
  <c r="C583" i="1" s="1"/>
  <c r="B584" i="1"/>
  <c r="C584" i="1" s="1"/>
  <c r="B585" i="1"/>
  <c r="B586" i="1"/>
  <c r="B587" i="1"/>
  <c r="C587" i="1" s="1"/>
  <c r="B588" i="1"/>
  <c r="C588" i="1" s="1"/>
  <c r="B589" i="1"/>
  <c r="C589" i="1" s="1"/>
  <c r="B590" i="1"/>
  <c r="C590" i="1" s="1"/>
  <c r="B591" i="1"/>
  <c r="C591" i="1" s="1"/>
  <c r="B592" i="1"/>
  <c r="C592" i="1" s="1"/>
  <c r="B593" i="1"/>
  <c r="C593" i="1" s="1"/>
  <c r="B594" i="1"/>
  <c r="C594" i="1" s="1"/>
  <c r="B595" i="1"/>
  <c r="C595" i="1" s="1"/>
  <c r="B596" i="1"/>
  <c r="C596" i="1" s="1"/>
  <c r="B597" i="1"/>
  <c r="C597" i="1" s="1"/>
  <c r="B598" i="1"/>
  <c r="C598" i="1" s="1"/>
  <c r="B599" i="1"/>
  <c r="C599" i="1" s="1"/>
  <c r="B600" i="1"/>
  <c r="C600" i="1" s="1"/>
  <c r="B601" i="1"/>
  <c r="C601" i="1" s="1"/>
  <c r="B602" i="1"/>
  <c r="C602" i="1" s="1"/>
  <c r="B603" i="1"/>
  <c r="C603" i="1" s="1"/>
  <c r="B604" i="1"/>
  <c r="C604" i="1" s="1"/>
  <c r="B605" i="1"/>
  <c r="C605" i="1" s="1"/>
  <c r="B606" i="1"/>
  <c r="C606" i="1" s="1"/>
  <c r="B607" i="1"/>
  <c r="C607" i="1" s="1"/>
  <c r="B608" i="1"/>
  <c r="C608" i="1" s="1"/>
  <c r="B609" i="1"/>
  <c r="C609" i="1" s="1"/>
  <c r="B610" i="1"/>
  <c r="C610" i="1" s="1"/>
  <c r="B611" i="1"/>
  <c r="C611" i="1" s="1"/>
  <c r="B612" i="1"/>
  <c r="C612" i="1" s="1"/>
  <c r="B613" i="1"/>
  <c r="C613" i="1" s="1"/>
  <c r="B614" i="1"/>
  <c r="C614" i="1" s="1"/>
  <c r="B615" i="1"/>
  <c r="C615" i="1" s="1"/>
  <c r="B616" i="1"/>
  <c r="C616" i="1" s="1"/>
  <c r="B617" i="1"/>
  <c r="C617" i="1" s="1"/>
  <c r="B618" i="1"/>
  <c r="C618" i="1" s="1"/>
  <c r="B619" i="1"/>
  <c r="C619" i="1" s="1"/>
  <c r="B620" i="1"/>
  <c r="C620" i="1" s="1"/>
  <c r="B621" i="1"/>
  <c r="C621" i="1" s="1"/>
  <c r="B622" i="1"/>
  <c r="C622" i="1" s="1"/>
  <c r="B623" i="1"/>
  <c r="C623" i="1" s="1"/>
  <c r="B624" i="1"/>
  <c r="C624" i="1" s="1"/>
  <c r="B625" i="1"/>
  <c r="C625" i="1" s="1"/>
  <c r="B626" i="1"/>
  <c r="C626" i="1" s="1"/>
  <c r="B627" i="1"/>
  <c r="C627" i="1" s="1"/>
  <c r="B628" i="1"/>
  <c r="C628" i="1" s="1"/>
  <c r="B629" i="1"/>
  <c r="C629" i="1" s="1"/>
  <c r="B630" i="1"/>
  <c r="C630" i="1" s="1"/>
  <c r="B631" i="1"/>
  <c r="C631" i="1" s="1"/>
  <c r="B632" i="1"/>
  <c r="C632" i="1" s="1"/>
  <c r="B633" i="1"/>
  <c r="C633" i="1" s="1"/>
  <c r="B634" i="1"/>
  <c r="C634" i="1" s="1"/>
  <c r="B635" i="1"/>
  <c r="C635" i="1" s="1"/>
  <c r="B636" i="1"/>
  <c r="C636" i="1" s="1"/>
  <c r="B637" i="1"/>
  <c r="C637" i="1" s="1"/>
  <c r="B638" i="1"/>
  <c r="C638" i="1" s="1"/>
  <c r="B639" i="1"/>
  <c r="C639" i="1" s="1"/>
  <c r="B640" i="1"/>
  <c r="C640" i="1" s="1"/>
  <c r="B641" i="1"/>
  <c r="C641" i="1" s="1"/>
  <c r="B642" i="1"/>
  <c r="C642" i="1" s="1"/>
  <c r="B643" i="1"/>
  <c r="C643" i="1" s="1"/>
  <c r="B644" i="1"/>
  <c r="C644" i="1" s="1"/>
  <c r="B645" i="1"/>
  <c r="C645" i="1" s="1"/>
  <c r="B646" i="1"/>
  <c r="C646" i="1" s="1"/>
  <c r="B647" i="1"/>
  <c r="C647" i="1" s="1"/>
  <c r="B648" i="1"/>
  <c r="C648" i="1" s="1"/>
  <c r="B649" i="1"/>
  <c r="C649" i="1" s="1"/>
  <c r="B650" i="1"/>
  <c r="C650" i="1" s="1"/>
  <c r="B651" i="1"/>
  <c r="C651" i="1" s="1"/>
  <c r="B652" i="1"/>
  <c r="C652" i="1" s="1"/>
  <c r="B653" i="1"/>
  <c r="C653" i="1" s="1"/>
  <c r="B654" i="1"/>
  <c r="C654" i="1" s="1"/>
  <c r="B655" i="1"/>
  <c r="C655" i="1" s="1"/>
  <c r="B656" i="1"/>
  <c r="C656" i="1" s="1"/>
  <c r="B657" i="1"/>
  <c r="C657" i="1" s="1"/>
  <c r="B658" i="1"/>
  <c r="C658" i="1" s="1"/>
  <c r="B659" i="1"/>
  <c r="C659" i="1" s="1"/>
  <c r="B660" i="1"/>
  <c r="C660" i="1" s="1"/>
  <c r="B661" i="1"/>
  <c r="C661" i="1" s="1"/>
  <c r="B662" i="1"/>
  <c r="C662" i="1" s="1"/>
  <c r="B663" i="1"/>
  <c r="C663" i="1" s="1"/>
  <c r="B664" i="1"/>
  <c r="C664" i="1" s="1"/>
  <c r="B665" i="1"/>
  <c r="C665" i="1" s="1"/>
  <c r="B666" i="1"/>
  <c r="C666" i="1" s="1"/>
  <c r="B667" i="1"/>
  <c r="C667" i="1" s="1"/>
  <c r="B668" i="1"/>
  <c r="B669" i="1"/>
  <c r="C669" i="1" s="1"/>
  <c r="B670" i="1"/>
  <c r="C670" i="1" s="1"/>
  <c r="B671" i="1"/>
  <c r="C671" i="1" s="1"/>
  <c r="B672" i="1"/>
  <c r="C672" i="1" s="1"/>
  <c r="B673" i="1"/>
  <c r="C673" i="1" s="1"/>
  <c r="B674" i="1"/>
  <c r="C674" i="1" s="1"/>
  <c r="B675" i="1"/>
  <c r="C675" i="1" s="1"/>
  <c r="B676" i="1"/>
  <c r="C676" i="1" s="1"/>
  <c r="B677" i="1"/>
  <c r="B678" i="1"/>
  <c r="C678" i="1" s="1"/>
  <c r="B679" i="1"/>
  <c r="C679" i="1" s="1"/>
  <c r="B680" i="1"/>
  <c r="C680" i="1" s="1"/>
  <c r="B681" i="1"/>
  <c r="C681" i="1" s="1"/>
  <c r="B682" i="1"/>
  <c r="C682" i="1" s="1"/>
  <c r="B683" i="1"/>
  <c r="C683" i="1" s="1"/>
  <c r="B684" i="1"/>
  <c r="C684" i="1" s="1"/>
  <c r="B685" i="1"/>
  <c r="C685" i="1" s="1"/>
  <c r="B686" i="1"/>
  <c r="C686" i="1" s="1"/>
  <c r="B687" i="1"/>
  <c r="C687" i="1" s="1"/>
  <c r="B688" i="1"/>
  <c r="C688" i="1" s="1"/>
  <c r="B689" i="1"/>
  <c r="C689" i="1" s="1"/>
  <c r="B690" i="1"/>
  <c r="C690" i="1" s="1"/>
  <c r="B691" i="1"/>
  <c r="C691" i="1" s="1"/>
  <c r="B692" i="1"/>
  <c r="C692" i="1" s="1"/>
  <c r="B693" i="1"/>
  <c r="C693" i="1" s="1"/>
  <c r="B694" i="1"/>
  <c r="B695" i="1"/>
  <c r="C695" i="1" s="1"/>
  <c r="B696" i="1"/>
  <c r="C696" i="1" s="1"/>
  <c r="B697" i="1"/>
  <c r="C697" i="1" s="1"/>
  <c r="B698" i="1"/>
  <c r="C698" i="1" s="1"/>
  <c r="B699" i="1"/>
  <c r="C699" i="1" s="1"/>
  <c r="B700" i="1"/>
  <c r="C700" i="1" s="1"/>
  <c r="B701" i="1"/>
  <c r="C701" i="1" s="1"/>
  <c r="B702" i="1"/>
  <c r="C702" i="1" s="1"/>
  <c r="B703" i="1"/>
  <c r="C703" i="1" s="1"/>
  <c r="B704" i="1"/>
  <c r="C704" i="1" s="1"/>
  <c r="B705" i="1"/>
  <c r="C705" i="1" s="1"/>
  <c r="B706" i="1"/>
  <c r="C706" i="1" s="1"/>
  <c r="B707" i="1"/>
  <c r="C707" i="1" s="1"/>
  <c r="B708" i="1"/>
  <c r="C708" i="1" s="1"/>
  <c r="B709" i="1"/>
  <c r="C709" i="1" s="1"/>
  <c r="B710" i="1"/>
  <c r="C710" i="1" s="1"/>
  <c r="B711" i="1"/>
  <c r="C711" i="1" s="1"/>
  <c r="B712" i="1"/>
  <c r="C712" i="1" s="1"/>
  <c r="B713" i="1"/>
  <c r="C713" i="1" s="1"/>
  <c r="B714" i="1"/>
  <c r="C714" i="1" s="1"/>
  <c r="B715" i="1"/>
  <c r="C715" i="1" s="1"/>
  <c r="B716" i="1"/>
  <c r="C716" i="1" s="1"/>
  <c r="B717" i="1"/>
  <c r="B718" i="1"/>
  <c r="C718" i="1" s="1"/>
  <c r="B719" i="1"/>
  <c r="C719" i="1" s="1"/>
  <c r="B720" i="1"/>
  <c r="C720" i="1" s="1"/>
  <c r="B721" i="1"/>
  <c r="C721" i="1" s="1"/>
  <c r="B722" i="1"/>
  <c r="C722" i="1" s="1"/>
  <c r="B723" i="1"/>
  <c r="C723" i="1" s="1"/>
  <c r="B724" i="1"/>
  <c r="C724" i="1" s="1"/>
  <c r="B725" i="1"/>
  <c r="C725" i="1" s="1"/>
  <c r="B726" i="1"/>
  <c r="C726" i="1" s="1"/>
  <c r="B727" i="1"/>
  <c r="C727" i="1" s="1"/>
  <c r="B728" i="1"/>
  <c r="C728" i="1" s="1"/>
  <c r="B729" i="1"/>
  <c r="C729" i="1" s="1"/>
  <c r="B730" i="1"/>
  <c r="C730" i="1" s="1"/>
  <c r="B731" i="1"/>
  <c r="C731" i="1" s="1"/>
  <c r="B732" i="1"/>
  <c r="C732" i="1" s="1"/>
  <c r="B733" i="1"/>
  <c r="C733" i="1" s="1"/>
  <c r="B734" i="1"/>
  <c r="C734" i="1" s="1"/>
  <c r="B735" i="1"/>
  <c r="C735" i="1" s="1"/>
  <c r="B736" i="1"/>
  <c r="C736" i="1" s="1"/>
  <c r="B737" i="1"/>
  <c r="C737" i="1" s="1"/>
  <c r="B738" i="1"/>
  <c r="C738" i="1" s="1"/>
  <c r="B739" i="1"/>
  <c r="C739" i="1" s="1"/>
  <c r="B740" i="1"/>
  <c r="C740" i="1" s="1"/>
  <c r="B741" i="1"/>
  <c r="C741" i="1" s="1"/>
  <c r="B742" i="1"/>
  <c r="C742" i="1" s="1"/>
  <c r="B743" i="1"/>
  <c r="C743" i="1" s="1"/>
  <c r="B744" i="1"/>
  <c r="C744" i="1" s="1"/>
  <c r="B745" i="1"/>
  <c r="C745" i="1" s="1"/>
  <c r="B746" i="1"/>
  <c r="C746" i="1" s="1"/>
  <c r="B747" i="1"/>
  <c r="C747" i="1" s="1"/>
  <c r="B748" i="1"/>
  <c r="C748" i="1" s="1"/>
  <c r="B749" i="1"/>
  <c r="C749" i="1" s="1"/>
  <c r="B750" i="1"/>
  <c r="C750" i="1" s="1"/>
  <c r="B751" i="1"/>
  <c r="C751" i="1" s="1"/>
  <c r="B752" i="1"/>
  <c r="C752" i="1" s="1"/>
  <c r="B753" i="1"/>
  <c r="C753" i="1" s="1"/>
  <c r="B754" i="1"/>
  <c r="C754" i="1" s="1"/>
  <c r="B755" i="1"/>
  <c r="C755" i="1" s="1"/>
  <c r="B756" i="1"/>
  <c r="C756" i="1" s="1"/>
  <c r="B757" i="1"/>
  <c r="C757" i="1" s="1"/>
  <c r="B758" i="1"/>
  <c r="C758" i="1" s="1"/>
  <c r="B759" i="1"/>
  <c r="C759" i="1" s="1"/>
  <c r="B760" i="1"/>
  <c r="C760" i="1" s="1"/>
  <c r="B761" i="1"/>
  <c r="C761" i="1" s="1"/>
  <c r="B762" i="1"/>
  <c r="C762" i="1" s="1"/>
  <c r="B763" i="1"/>
  <c r="C763" i="1" s="1"/>
  <c r="B764" i="1"/>
  <c r="C764" i="1" s="1"/>
  <c r="B765" i="1"/>
  <c r="C765" i="1" s="1"/>
  <c r="B766" i="1"/>
  <c r="C766" i="1" s="1"/>
  <c r="B767" i="1"/>
  <c r="C767" i="1" s="1"/>
  <c r="B768" i="1"/>
  <c r="C768" i="1" s="1"/>
  <c r="B769" i="1"/>
  <c r="C769" i="1" s="1"/>
  <c r="B770" i="1"/>
  <c r="C770" i="1" s="1"/>
  <c r="B771" i="1"/>
  <c r="C771" i="1" s="1"/>
  <c r="B772" i="1"/>
  <c r="C772" i="1" s="1"/>
  <c r="B773" i="1"/>
  <c r="C773" i="1" s="1"/>
  <c r="B774" i="1"/>
  <c r="C774" i="1" s="1"/>
  <c r="B775" i="1"/>
  <c r="C775" i="1" s="1"/>
  <c r="B776" i="1"/>
  <c r="C776" i="1" s="1"/>
  <c r="B777" i="1"/>
  <c r="C777" i="1" s="1"/>
  <c r="B778" i="1"/>
  <c r="C778" i="1" s="1"/>
  <c r="B779" i="1"/>
  <c r="C779" i="1" s="1"/>
  <c r="B780" i="1"/>
  <c r="C780" i="1" s="1"/>
  <c r="B781" i="1"/>
  <c r="C781" i="1" s="1"/>
  <c r="B782" i="1"/>
  <c r="C782" i="1" s="1"/>
  <c r="B783" i="1"/>
  <c r="C783" i="1" s="1"/>
  <c r="B784" i="1"/>
  <c r="C784" i="1" s="1"/>
  <c r="B785" i="1"/>
  <c r="C785" i="1" s="1"/>
  <c r="B786" i="1"/>
  <c r="C786" i="1" s="1"/>
  <c r="B787" i="1"/>
  <c r="C787" i="1" s="1"/>
  <c r="B788" i="1"/>
  <c r="C788" i="1" s="1"/>
  <c r="B789" i="1"/>
  <c r="C789" i="1" s="1"/>
  <c r="B790" i="1"/>
  <c r="C790" i="1" s="1"/>
  <c r="B791" i="1"/>
  <c r="C791" i="1" s="1"/>
  <c r="B792" i="1"/>
  <c r="C792" i="1" s="1"/>
  <c r="B793" i="1"/>
  <c r="C793" i="1" s="1"/>
  <c r="B794" i="1"/>
  <c r="C794" i="1" s="1"/>
  <c r="B795" i="1"/>
  <c r="C795" i="1" s="1"/>
  <c r="B796" i="1"/>
  <c r="C796" i="1" s="1"/>
  <c r="B797" i="1"/>
  <c r="C797" i="1" s="1"/>
  <c r="B798" i="1"/>
  <c r="C798" i="1" s="1"/>
  <c r="B799" i="1"/>
  <c r="C799" i="1" s="1"/>
  <c r="B800" i="1"/>
  <c r="B801" i="1"/>
  <c r="C801" i="1" s="1"/>
  <c r="B802" i="1"/>
  <c r="C802" i="1" s="1"/>
  <c r="B803" i="1"/>
  <c r="C803" i="1" s="1"/>
  <c r="B804" i="1"/>
  <c r="C804" i="1" s="1"/>
  <c r="B805" i="1"/>
  <c r="C805" i="1" s="1"/>
  <c r="B806" i="1"/>
  <c r="C806" i="1" s="1"/>
  <c r="B807" i="1"/>
  <c r="C807" i="1" s="1"/>
  <c r="B808" i="1"/>
  <c r="C808" i="1" s="1"/>
  <c r="B809" i="1"/>
  <c r="C809" i="1" s="1"/>
  <c r="B810" i="1"/>
  <c r="C810" i="1" s="1"/>
  <c r="B811" i="1"/>
  <c r="C811" i="1" s="1"/>
  <c r="B812" i="1"/>
  <c r="C812" i="1" s="1"/>
  <c r="B813" i="1"/>
  <c r="C813" i="1" s="1"/>
  <c r="B814" i="1"/>
  <c r="C814" i="1" s="1"/>
  <c r="B815" i="1"/>
  <c r="C815" i="1" s="1"/>
  <c r="B816" i="1"/>
  <c r="C816" i="1" s="1"/>
  <c r="B817" i="1"/>
  <c r="C817" i="1" s="1"/>
  <c r="B818" i="1"/>
  <c r="C818" i="1" s="1"/>
  <c r="B819" i="1"/>
  <c r="C819" i="1" s="1"/>
  <c r="B820" i="1"/>
  <c r="C820" i="1" s="1"/>
  <c r="B821" i="1"/>
  <c r="C821" i="1" s="1"/>
  <c r="B822" i="1"/>
  <c r="C822" i="1" s="1"/>
  <c r="B823" i="1"/>
  <c r="C823" i="1" s="1"/>
  <c r="B824" i="1"/>
  <c r="C824" i="1" s="1"/>
  <c r="B825" i="1"/>
  <c r="C825" i="1" s="1"/>
  <c r="B826" i="1"/>
  <c r="C826" i="1" s="1"/>
  <c r="B827" i="1"/>
  <c r="C827" i="1" s="1"/>
  <c r="B828" i="1"/>
  <c r="C828" i="1" s="1"/>
  <c r="B829" i="1"/>
  <c r="C829" i="1" s="1"/>
  <c r="B830" i="1"/>
  <c r="C830" i="1" s="1"/>
  <c r="B831" i="1"/>
  <c r="C831" i="1" s="1"/>
  <c r="B832" i="1"/>
  <c r="C832" i="1" s="1"/>
  <c r="B833" i="1"/>
  <c r="C833" i="1" s="1"/>
  <c r="B834" i="1"/>
  <c r="C834" i="1" s="1"/>
  <c r="B835" i="1"/>
  <c r="C835" i="1" s="1"/>
  <c r="B836" i="1"/>
  <c r="C836" i="1" s="1"/>
  <c r="B837" i="1"/>
  <c r="C837" i="1" s="1"/>
  <c r="B838" i="1"/>
  <c r="B839" i="1"/>
  <c r="C839" i="1" s="1"/>
  <c r="B840" i="1"/>
  <c r="C840" i="1" s="1"/>
  <c r="B841" i="1"/>
  <c r="C841" i="1" s="1"/>
  <c r="B842" i="1"/>
  <c r="C842" i="1" s="1"/>
  <c r="B843" i="1"/>
  <c r="C843" i="1" s="1"/>
  <c r="B844" i="1"/>
  <c r="C844" i="1" s="1"/>
  <c r="B845" i="1"/>
  <c r="C845" i="1" s="1"/>
  <c r="B846" i="1"/>
  <c r="C846" i="1" s="1"/>
  <c r="B847" i="1"/>
  <c r="C847" i="1" s="1"/>
  <c r="B848" i="1"/>
  <c r="C848" i="1" s="1"/>
  <c r="B849" i="1"/>
  <c r="C849" i="1" s="1"/>
  <c r="B850" i="1"/>
  <c r="C850" i="1" s="1"/>
  <c r="B851" i="1"/>
  <c r="B852" i="1"/>
  <c r="B853" i="1"/>
  <c r="C853" i="1" s="1"/>
  <c r="B854" i="1"/>
  <c r="C854" i="1" s="1"/>
  <c r="B855" i="1"/>
  <c r="C855" i="1" s="1"/>
  <c r="B856" i="1"/>
  <c r="C856" i="1" s="1"/>
  <c r="B857" i="1"/>
  <c r="C857" i="1" s="1"/>
  <c r="B858" i="1"/>
  <c r="C858" i="1" s="1"/>
  <c r="B859" i="1"/>
  <c r="C859" i="1" s="1"/>
  <c r="B860" i="1"/>
  <c r="C860" i="1" s="1"/>
  <c r="B861" i="1"/>
  <c r="C861" i="1" s="1"/>
  <c r="B862" i="1"/>
  <c r="C862" i="1" s="1"/>
  <c r="B863" i="1"/>
  <c r="C863" i="1" s="1"/>
  <c r="B864" i="1"/>
  <c r="C864" i="1" s="1"/>
  <c r="B865" i="1"/>
  <c r="C865" i="1" s="1"/>
  <c r="B866" i="1"/>
  <c r="C866" i="1" s="1"/>
  <c r="B867" i="1"/>
  <c r="C867" i="1" s="1"/>
  <c r="B868" i="1"/>
  <c r="C868" i="1" s="1"/>
  <c r="B869" i="1"/>
  <c r="C869" i="1" s="1"/>
  <c r="B870" i="1"/>
  <c r="C870" i="1" s="1"/>
  <c r="B871" i="1"/>
  <c r="C871" i="1" s="1"/>
  <c r="B872" i="1"/>
  <c r="C872" i="1" s="1"/>
  <c r="B873" i="1"/>
  <c r="C873" i="1" s="1"/>
  <c r="B874" i="1"/>
  <c r="B875" i="1"/>
  <c r="C875" i="1" s="1"/>
  <c r="B876" i="1"/>
  <c r="C876" i="1" s="1"/>
  <c r="B877" i="1"/>
  <c r="C877" i="1" s="1"/>
  <c r="B878" i="1"/>
  <c r="C878" i="1" s="1"/>
  <c r="B879" i="1"/>
  <c r="C879" i="1" s="1"/>
  <c r="B880" i="1"/>
  <c r="C880" i="1" s="1"/>
  <c r="B881" i="1"/>
  <c r="C881" i="1" s="1"/>
  <c r="B882" i="1"/>
  <c r="C882" i="1" s="1"/>
  <c r="B883" i="1"/>
  <c r="C883" i="1" s="1"/>
  <c r="B884" i="1"/>
  <c r="C884" i="1" s="1"/>
  <c r="B885" i="1"/>
  <c r="C885" i="1" s="1"/>
  <c r="B886" i="1"/>
  <c r="C886" i="1" s="1"/>
  <c r="B887" i="1"/>
  <c r="C887" i="1" s="1"/>
  <c r="B888" i="1"/>
  <c r="C888" i="1" s="1"/>
  <c r="B889" i="1"/>
  <c r="C889" i="1" s="1"/>
  <c r="B890" i="1"/>
  <c r="C890" i="1" s="1"/>
  <c r="B891" i="1"/>
  <c r="C891" i="1" s="1"/>
  <c r="B892" i="1"/>
  <c r="C892" i="1" s="1"/>
  <c r="B893" i="1"/>
  <c r="B894" i="1"/>
  <c r="C894" i="1" s="1"/>
  <c r="B895" i="1"/>
  <c r="C895" i="1" s="1"/>
  <c r="B896" i="1"/>
  <c r="C896" i="1" s="1"/>
  <c r="B897" i="1"/>
  <c r="C897" i="1" s="1"/>
  <c r="B898" i="1"/>
  <c r="C898" i="1" s="1"/>
  <c r="B899" i="1"/>
  <c r="C899" i="1" s="1"/>
  <c r="B900" i="1"/>
  <c r="C900" i="1" s="1"/>
  <c r="B901" i="1"/>
  <c r="C901" i="1" s="1"/>
  <c r="B902" i="1"/>
  <c r="C902" i="1" s="1"/>
  <c r="B903" i="1"/>
  <c r="C903" i="1" s="1"/>
  <c r="B904" i="1"/>
  <c r="C904" i="1" s="1"/>
  <c r="B905" i="1"/>
  <c r="C905" i="1" s="1"/>
  <c r="B906" i="1"/>
  <c r="C906" i="1" s="1"/>
  <c r="B907" i="1"/>
  <c r="C907" i="1" s="1"/>
  <c r="B908" i="1"/>
  <c r="C908" i="1" s="1"/>
  <c r="B909" i="1"/>
  <c r="C909" i="1" s="1"/>
  <c r="B910" i="1"/>
  <c r="C910" i="1" s="1"/>
  <c r="B911" i="1"/>
  <c r="C911" i="1" s="1"/>
  <c r="B912" i="1"/>
  <c r="C912" i="1" s="1"/>
  <c r="B913" i="1"/>
  <c r="C913" i="1" s="1"/>
  <c r="B914" i="1"/>
  <c r="C914" i="1" s="1"/>
  <c r="B915" i="1"/>
  <c r="C915" i="1" s="1"/>
  <c r="B916" i="1"/>
  <c r="C916" i="1" s="1"/>
  <c r="B917" i="1"/>
  <c r="C917" i="1" s="1"/>
  <c r="B918" i="1"/>
  <c r="C918" i="1" s="1"/>
  <c r="B919" i="1"/>
  <c r="C919" i="1" s="1"/>
  <c r="B920" i="1"/>
  <c r="C920" i="1" s="1"/>
  <c r="B921" i="1"/>
  <c r="C921" i="1" s="1"/>
  <c r="B922" i="1"/>
  <c r="C922" i="1" s="1"/>
  <c r="B923" i="1"/>
  <c r="C923" i="1" s="1"/>
  <c r="B924" i="1"/>
  <c r="C924" i="1" s="1"/>
  <c r="B925" i="1"/>
  <c r="C925" i="1" s="1"/>
  <c r="B926" i="1"/>
  <c r="C926" i="1" s="1"/>
  <c r="B927" i="1"/>
  <c r="C927" i="1" s="1"/>
  <c r="B928" i="1"/>
  <c r="C928" i="1" s="1"/>
  <c r="B929" i="1"/>
  <c r="C929" i="1" s="1"/>
  <c r="B930" i="1"/>
  <c r="C930" i="1" s="1"/>
  <c r="B931" i="1"/>
  <c r="C931" i="1" s="1"/>
  <c r="B932" i="1"/>
  <c r="C932" i="1" s="1"/>
  <c r="B933" i="1"/>
  <c r="B934" i="1"/>
  <c r="C934" i="1" s="1"/>
  <c r="B935" i="1"/>
  <c r="C935" i="1" s="1"/>
  <c r="B936" i="1"/>
  <c r="C936" i="1" s="1"/>
  <c r="B937" i="1"/>
  <c r="C937" i="1" s="1"/>
  <c r="B938" i="1"/>
  <c r="C938" i="1" s="1"/>
  <c r="B939" i="1"/>
  <c r="C939" i="1" s="1"/>
  <c r="B940" i="1"/>
  <c r="C940" i="1" s="1"/>
  <c r="B941" i="1"/>
  <c r="C941" i="1" s="1"/>
  <c r="B942" i="1"/>
  <c r="C942" i="1" s="1"/>
  <c r="B943" i="1"/>
  <c r="C943" i="1" s="1"/>
  <c r="B944" i="1"/>
  <c r="C944" i="1" s="1"/>
  <c r="B945" i="1"/>
  <c r="C945" i="1" s="1"/>
  <c r="B946" i="1"/>
  <c r="C946" i="1" s="1"/>
  <c r="B947" i="1"/>
  <c r="C947" i="1" s="1"/>
  <c r="B948" i="1"/>
  <c r="C948" i="1" s="1"/>
  <c r="B949" i="1"/>
  <c r="C949" i="1" s="1"/>
  <c r="B950" i="1"/>
  <c r="C950" i="1" s="1"/>
  <c r="B951" i="1"/>
  <c r="C951" i="1" s="1"/>
  <c r="B952" i="1"/>
  <c r="C952" i="1" s="1"/>
  <c r="B953" i="1"/>
  <c r="C953" i="1" s="1"/>
  <c r="B954" i="1"/>
  <c r="C954" i="1" s="1"/>
  <c r="B955" i="1"/>
  <c r="C955" i="1" s="1"/>
  <c r="B956" i="1"/>
  <c r="C956" i="1" s="1"/>
  <c r="B957" i="1"/>
  <c r="C957" i="1" s="1"/>
  <c r="B958" i="1"/>
  <c r="C958" i="1" s="1"/>
  <c r="B959" i="1"/>
  <c r="B960" i="1"/>
  <c r="C960" i="1" s="1"/>
  <c r="B961" i="1"/>
  <c r="C961" i="1" s="1"/>
  <c r="B962" i="1"/>
  <c r="C962" i="1" s="1"/>
  <c r="B963" i="1"/>
  <c r="C963" i="1" s="1"/>
  <c r="B964" i="1"/>
  <c r="C964" i="1" s="1"/>
  <c r="B965" i="1"/>
  <c r="C965" i="1" s="1"/>
  <c r="B966" i="1"/>
  <c r="C966" i="1" s="1"/>
  <c r="B967" i="1"/>
  <c r="C967" i="1" s="1"/>
  <c r="B968" i="1"/>
  <c r="B969" i="1"/>
  <c r="B970" i="1"/>
  <c r="C970" i="1" s="1"/>
  <c r="B971" i="1"/>
  <c r="C971" i="1" s="1"/>
  <c r="B972" i="1"/>
  <c r="C972" i="1" s="1"/>
  <c r="B973" i="1"/>
  <c r="C973" i="1" s="1"/>
  <c r="B974" i="1"/>
  <c r="C974" i="1" s="1"/>
  <c r="B975" i="1"/>
  <c r="C975" i="1" s="1"/>
  <c r="B976" i="1"/>
  <c r="C976" i="1" s="1"/>
  <c r="B977" i="1"/>
  <c r="C977" i="1" s="1"/>
  <c r="B978" i="1"/>
  <c r="C978" i="1" s="1"/>
  <c r="B979" i="1"/>
  <c r="C979" i="1" s="1"/>
  <c r="B980" i="1"/>
  <c r="C980" i="1" s="1"/>
  <c r="B981" i="1"/>
  <c r="C981" i="1" s="1"/>
  <c r="B982" i="1"/>
  <c r="C982" i="1" s="1"/>
  <c r="B983" i="1"/>
  <c r="C983" i="1" s="1"/>
  <c r="B984" i="1"/>
  <c r="C984" i="1" s="1"/>
  <c r="B985" i="1"/>
  <c r="C985" i="1" s="1"/>
  <c r="B986" i="1"/>
  <c r="C986" i="1" s="1"/>
  <c r="B987" i="1"/>
  <c r="C987" i="1" s="1"/>
  <c r="B988" i="1"/>
  <c r="C988" i="1" s="1"/>
  <c r="B989" i="1"/>
  <c r="C989" i="1" s="1"/>
  <c r="B990" i="1"/>
  <c r="C990" i="1" s="1"/>
  <c r="B991" i="1"/>
  <c r="C991" i="1" s="1"/>
  <c r="B992" i="1"/>
  <c r="C992" i="1" s="1"/>
  <c r="B993" i="1"/>
  <c r="C993" i="1" s="1"/>
  <c r="B994" i="1"/>
  <c r="C994" i="1" s="1"/>
  <c r="B995" i="1"/>
  <c r="C995" i="1" s="1"/>
  <c r="B996" i="1"/>
  <c r="C996" i="1" s="1"/>
  <c r="B997" i="1"/>
  <c r="C997" i="1" s="1"/>
  <c r="B998" i="1"/>
  <c r="C998" i="1" s="1"/>
  <c r="B999" i="1"/>
  <c r="C999" i="1" s="1"/>
  <c r="B1000" i="1"/>
  <c r="C1000" i="1" s="1"/>
  <c r="B1001" i="1"/>
  <c r="C1001" i="1" s="1"/>
  <c r="B1002" i="1"/>
  <c r="C1002" i="1" s="1"/>
  <c r="B1003" i="1"/>
  <c r="C1003" i="1" s="1"/>
  <c r="B1004" i="1"/>
  <c r="C1004" i="1" s="1"/>
  <c r="B1005" i="1"/>
  <c r="C1005" i="1" s="1"/>
  <c r="B1006" i="1"/>
  <c r="C1006" i="1" s="1"/>
  <c r="B1007" i="1"/>
  <c r="C1007" i="1" s="1"/>
  <c r="B1008" i="1"/>
  <c r="C1008" i="1" s="1"/>
  <c r="B1009" i="1"/>
  <c r="C1009" i="1" s="1"/>
  <c r="B1010" i="1"/>
  <c r="C1010" i="1" s="1"/>
  <c r="B1011" i="1"/>
  <c r="C1011" i="1" s="1"/>
  <c r="B1012" i="1"/>
  <c r="C1012" i="1" s="1"/>
  <c r="B1013" i="1"/>
  <c r="C1013" i="1" s="1"/>
  <c r="B1014" i="1"/>
  <c r="C1014" i="1" s="1"/>
  <c r="B1015" i="1"/>
  <c r="C1015" i="1" s="1"/>
  <c r="B1016" i="1"/>
  <c r="C1016" i="1" s="1"/>
  <c r="B1017" i="1"/>
  <c r="C1017" i="1" s="1"/>
  <c r="B1018" i="1"/>
  <c r="C1018" i="1" s="1"/>
  <c r="B1019" i="1"/>
  <c r="C1019" i="1" s="1"/>
  <c r="B1020" i="1"/>
  <c r="C1020" i="1" s="1"/>
  <c r="B1021" i="1"/>
  <c r="C1021" i="1" s="1"/>
  <c r="B1022" i="1"/>
  <c r="C1022" i="1" s="1"/>
  <c r="B1023" i="1"/>
  <c r="C1023" i="1" s="1"/>
  <c r="B1024" i="1"/>
  <c r="C1024" i="1" s="1"/>
  <c r="B1025" i="1"/>
  <c r="C1025" i="1" s="1"/>
  <c r="B1026" i="1"/>
  <c r="C1026" i="1" s="1"/>
  <c r="B1027" i="1"/>
  <c r="C1027" i="1" s="1"/>
  <c r="B1028" i="1"/>
  <c r="C1028" i="1" s="1"/>
  <c r="B1029" i="1"/>
  <c r="C1029" i="1" s="1"/>
  <c r="B1030" i="1"/>
  <c r="C1030" i="1" s="1"/>
  <c r="B1031" i="1"/>
  <c r="C1031" i="1" s="1"/>
  <c r="B1032" i="1"/>
  <c r="C1032" i="1" s="1"/>
  <c r="B1033" i="1"/>
  <c r="C1033" i="1" s="1"/>
  <c r="B1034" i="1"/>
  <c r="C1034" i="1" s="1"/>
  <c r="B1035" i="1"/>
  <c r="C1035" i="1" s="1"/>
  <c r="B1036" i="1"/>
  <c r="C1036" i="1" s="1"/>
  <c r="B1037" i="1"/>
  <c r="C1037" i="1" s="1"/>
  <c r="B1038" i="1"/>
  <c r="C1038" i="1" s="1"/>
  <c r="B1039" i="1"/>
  <c r="C1039" i="1" s="1"/>
  <c r="B1040" i="1"/>
  <c r="C1040" i="1" s="1"/>
  <c r="B1041" i="1"/>
  <c r="C1041" i="1" s="1"/>
  <c r="B1042" i="1"/>
  <c r="C1042" i="1" s="1"/>
  <c r="B1043" i="1"/>
  <c r="C1043" i="1" s="1"/>
  <c r="B1044" i="1"/>
  <c r="C1044" i="1" s="1"/>
  <c r="B1045" i="1"/>
  <c r="C1045" i="1" s="1"/>
  <c r="B1046" i="1"/>
  <c r="C1046" i="1" s="1"/>
  <c r="B1047" i="1"/>
  <c r="C1047" i="1" s="1"/>
  <c r="B1048" i="1"/>
  <c r="C1048" i="1" s="1"/>
  <c r="B1049" i="1"/>
  <c r="C1049" i="1" s="1"/>
  <c r="B1050" i="1"/>
  <c r="C1050" i="1" s="1"/>
  <c r="B1051" i="1"/>
  <c r="C1051" i="1" s="1"/>
  <c r="B1052" i="1"/>
  <c r="C1052" i="1" s="1"/>
  <c r="B1053" i="1"/>
  <c r="B1054" i="1"/>
  <c r="B1055" i="1"/>
  <c r="C1055" i="1" s="1"/>
  <c r="B1056" i="1"/>
  <c r="C1056" i="1" s="1"/>
  <c r="B1057" i="1"/>
  <c r="C1057" i="1" s="1"/>
  <c r="B1058" i="1"/>
  <c r="C1058" i="1" s="1"/>
  <c r="B1059" i="1"/>
  <c r="C1059" i="1" s="1"/>
  <c r="B1060" i="1"/>
  <c r="C1060" i="1" s="1"/>
  <c r="B1061" i="1"/>
  <c r="C1061" i="1" s="1"/>
  <c r="B1062" i="1"/>
  <c r="C1062" i="1" s="1"/>
  <c r="B1063" i="1"/>
  <c r="C1063" i="1" s="1"/>
  <c r="B1064" i="1"/>
  <c r="C1064" i="1" s="1"/>
  <c r="B1065" i="1"/>
  <c r="C1065" i="1" s="1"/>
  <c r="B1066" i="1"/>
  <c r="C1066" i="1" s="1"/>
  <c r="B1067" i="1"/>
  <c r="C1067" i="1" s="1"/>
  <c r="B1068" i="1"/>
  <c r="C1068" i="1" s="1"/>
  <c r="B1069" i="1"/>
  <c r="C1069" i="1" s="1"/>
  <c r="B1070" i="1"/>
  <c r="C1070" i="1" s="1"/>
  <c r="B1071" i="1"/>
  <c r="C1071" i="1" s="1"/>
  <c r="B1072" i="1"/>
  <c r="C1072" i="1" s="1"/>
  <c r="B1073" i="1"/>
  <c r="C1073" i="1" s="1"/>
  <c r="B1074" i="1"/>
  <c r="C1074" i="1" s="1"/>
  <c r="B1075" i="1"/>
  <c r="C1075" i="1" s="1"/>
  <c r="B1076" i="1"/>
  <c r="C1076" i="1" s="1"/>
  <c r="B1077" i="1"/>
  <c r="C1077" i="1" s="1"/>
  <c r="B1078" i="1"/>
  <c r="C1078" i="1" s="1"/>
  <c r="B1079" i="1"/>
  <c r="C1079" i="1" s="1"/>
  <c r="B1080" i="1"/>
  <c r="C1080" i="1" s="1"/>
  <c r="B1081" i="1"/>
  <c r="C1081" i="1" s="1"/>
  <c r="B1082" i="1"/>
  <c r="C1082" i="1" s="1"/>
  <c r="B1083" i="1"/>
  <c r="B1084" i="1"/>
  <c r="B1085" i="1"/>
  <c r="C1085" i="1" s="1"/>
  <c r="B1086" i="1"/>
  <c r="C1086" i="1" s="1"/>
  <c r="B1087" i="1"/>
  <c r="C1087" i="1" s="1"/>
  <c r="B1088" i="1"/>
  <c r="C1088" i="1" s="1"/>
  <c r="B1089" i="1"/>
  <c r="C1089" i="1" s="1"/>
  <c r="B1090" i="1"/>
  <c r="C1090" i="1" s="1"/>
  <c r="B1091" i="1"/>
  <c r="C1091" i="1" s="1"/>
  <c r="B1092" i="1"/>
  <c r="C1092" i="1" s="1"/>
  <c r="B1093" i="1"/>
  <c r="C1093" i="1" s="1"/>
  <c r="B1094" i="1"/>
  <c r="C1094" i="1" s="1"/>
  <c r="B1095" i="1"/>
  <c r="C1095" i="1" s="1"/>
  <c r="B1096" i="1"/>
  <c r="C1096" i="1" s="1"/>
  <c r="B1097" i="1"/>
  <c r="C1097" i="1" s="1"/>
  <c r="B1098" i="1"/>
  <c r="C1098" i="1" s="1"/>
  <c r="B1099" i="1"/>
  <c r="C1099" i="1" s="1"/>
  <c r="B1100" i="1"/>
  <c r="C1100" i="1" s="1"/>
  <c r="B1101" i="1"/>
  <c r="C1101" i="1" s="1"/>
  <c r="B1102" i="1"/>
  <c r="B1103" i="1"/>
  <c r="B1104" i="1"/>
  <c r="C1104" i="1" s="1"/>
  <c r="B1105" i="1"/>
  <c r="B1106" i="1"/>
  <c r="C1106" i="1" s="1"/>
  <c r="B1107" i="1"/>
  <c r="C1107" i="1" s="1"/>
  <c r="B1108" i="1"/>
  <c r="C1108" i="1" s="1"/>
  <c r="B1109" i="1"/>
  <c r="C1109" i="1" s="1"/>
  <c r="B1110" i="1"/>
  <c r="C1110" i="1" s="1"/>
  <c r="B1111" i="1"/>
  <c r="C1111" i="1" s="1"/>
  <c r="B1112" i="1"/>
  <c r="C1112" i="1" s="1"/>
  <c r="B1113" i="1"/>
  <c r="C1113" i="1" s="1"/>
  <c r="B1114" i="1"/>
  <c r="C1114" i="1" s="1"/>
  <c r="B1115" i="1"/>
  <c r="C1115" i="1" s="1"/>
  <c r="B1116" i="1"/>
  <c r="C1116" i="1" s="1"/>
  <c r="B1117" i="1"/>
  <c r="C1117" i="1" s="1"/>
  <c r="B1118" i="1"/>
  <c r="C1118" i="1" s="1"/>
  <c r="B1119" i="1"/>
  <c r="C1119" i="1" s="1"/>
  <c r="B1120" i="1"/>
  <c r="C1120" i="1" s="1"/>
  <c r="B1121" i="1"/>
  <c r="C1121" i="1" s="1"/>
  <c r="B1122" i="1"/>
  <c r="C1122" i="1" s="1"/>
  <c r="B1123" i="1"/>
  <c r="C1123" i="1" s="1"/>
  <c r="B1124" i="1"/>
  <c r="C1124" i="1" s="1"/>
  <c r="B1125" i="1"/>
  <c r="C1125" i="1" s="1"/>
  <c r="B1126" i="1"/>
  <c r="C1126" i="1" s="1"/>
  <c r="B1127" i="1"/>
  <c r="C1127" i="1" s="1"/>
  <c r="B1128" i="1"/>
  <c r="C1128" i="1" s="1"/>
  <c r="B1129" i="1"/>
  <c r="C1129" i="1" s="1"/>
  <c r="B1130" i="1"/>
  <c r="C1130" i="1" s="1"/>
  <c r="B1131" i="1"/>
  <c r="C1131" i="1" s="1"/>
  <c r="B1132" i="1"/>
  <c r="C1132" i="1" s="1"/>
  <c r="B1133" i="1"/>
  <c r="C1133" i="1" s="1"/>
  <c r="B1134" i="1"/>
  <c r="C1134" i="1" s="1"/>
  <c r="B1135" i="1"/>
  <c r="C1135" i="1" s="1"/>
  <c r="B1136" i="1"/>
  <c r="C1136" i="1" s="1"/>
  <c r="B1137" i="1"/>
  <c r="C1137" i="1" s="1"/>
  <c r="B1138" i="1"/>
  <c r="C1138" i="1" s="1"/>
  <c r="B1139" i="1"/>
  <c r="C1139" i="1" s="1"/>
  <c r="B1140" i="1"/>
  <c r="C1140" i="1" s="1"/>
  <c r="B1141" i="1"/>
  <c r="C1141" i="1" s="1"/>
  <c r="B1142" i="1"/>
  <c r="C1142" i="1" s="1"/>
  <c r="B1143" i="1"/>
  <c r="C1143" i="1" s="1"/>
  <c r="B1144" i="1"/>
  <c r="C1144" i="1" s="1"/>
  <c r="B1145" i="1"/>
  <c r="C1145" i="1" s="1"/>
  <c r="B1146" i="1"/>
  <c r="C1146" i="1" s="1"/>
  <c r="B1147" i="1"/>
  <c r="C1147" i="1" s="1"/>
  <c r="B1148" i="1"/>
  <c r="C1148" i="1" s="1"/>
  <c r="B1149" i="1"/>
  <c r="C1149" i="1" s="1"/>
  <c r="B1150" i="1"/>
  <c r="C1150" i="1" s="1"/>
  <c r="B1151" i="1"/>
  <c r="C1151" i="1" s="1"/>
  <c r="B1152" i="1"/>
  <c r="C1152" i="1" s="1"/>
  <c r="B1153" i="1"/>
  <c r="C1153" i="1" s="1"/>
  <c r="B1154" i="1"/>
  <c r="C1154" i="1" s="1"/>
  <c r="B1155" i="1"/>
  <c r="C1155" i="1" s="1"/>
  <c r="B1156" i="1"/>
  <c r="C1156" i="1" s="1"/>
  <c r="B1157" i="1"/>
  <c r="C1157" i="1" s="1"/>
  <c r="B1158" i="1"/>
  <c r="C1158" i="1" s="1"/>
  <c r="B1159" i="1"/>
  <c r="C1159" i="1" s="1"/>
  <c r="B1160" i="1"/>
  <c r="C1160" i="1" s="1"/>
  <c r="B1161" i="1"/>
  <c r="C1161" i="1" s="1"/>
  <c r="B1162" i="1"/>
  <c r="C1162" i="1" s="1"/>
  <c r="B1163" i="1"/>
  <c r="C1163" i="1" s="1"/>
  <c r="B1164" i="1"/>
  <c r="C1164" i="1" s="1"/>
  <c r="B1165" i="1"/>
  <c r="C1165" i="1" s="1"/>
  <c r="B1166" i="1"/>
  <c r="C1166" i="1" s="1"/>
  <c r="B1167" i="1"/>
  <c r="B1168" i="1"/>
  <c r="C1168" i="1" s="1"/>
  <c r="B1169" i="1"/>
  <c r="C1169" i="1" s="1"/>
  <c r="B1170" i="1"/>
  <c r="C1170" i="1" s="1"/>
  <c r="B1171" i="1"/>
  <c r="C1171" i="1" s="1"/>
  <c r="B1172" i="1"/>
  <c r="C1172" i="1" s="1"/>
  <c r="B1173" i="1"/>
  <c r="B1174" i="1"/>
  <c r="C1174" i="1" s="1"/>
  <c r="B1175" i="1"/>
  <c r="C1175" i="1" s="1"/>
  <c r="B1176" i="1"/>
  <c r="C1176" i="1" s="1"/>
  <c r="B1177" i="1"/>
  <c r="C1177" i="1" s="1"/>
  <c r="B1178" i="1"/>
  <c r="C1178" i="1" s="1"/>
  <c r="B1179" i="1"/>
  <c r="C1179" i="1" s="1"/>
  <c r="B1180" i="1"/>
  <c r="C1180" i="1" s="1"/>
  <c r="B1181" i="1"/>
  <c r="C1181" i="1" s="1"/>
  <c r="B1182" i="1"/>
  <c r="C1182" i="1" s="1"/>
  <c r="B1183" i="1"/>
  <c r="C1183" i="1" s="1"/>
  <c r="B1184" i="1"/>
  <c r="C1184" i="1" s="1"/>
  <c r="B1185" i="1"/>
  <c r="C1185" i="1" s="1"/>
  <c r="B1186" i="1"/>
  <c r="C1186" i="1" s="1"/>
  <c r="B1187" i="1"/>
  <c r="C1187" i="1" s="1"/>
  <c r="B1188" i="1"/>
  <c r="C1188" i="1" s="1"/>
  <c r="B1189" i="1"/>
  <c r="C1189" i="1" s="1"/>
  <c r="B1190" i="1"/>
  <c r="C1190" i="1" s="1"/>
  <c r="B1191" i="1"/>
  <c r="C1191" i="1" s="1"/>
  <c r="B1192" i="1"/>
  <c r="C1192" i="1" s="1"/>
  <c r="B1193" i="1"/>
  <c r="C1193" i="1" s="1"/>
  <c r="B1194" i="1"/>
  <c r="C1194" i="1" s="1"/>
  <c r="B1195" i="1"/>
  <c r="C1195" i="1" s="1"/>
  <c r="B1196" i="1"/>
  <c r="C1196" i="1" s="1"/>
  <c r="B1197" i="1"/>
  <c r="C1197" i="1" s="1"/>
  <c r="B1198" i="1"/>
  <c r="C1198" i="1" s="1"/>
  <c r="B1199" i="1"/>
  <c r="C1199" i="1" s="1"/>
  <c r="B1200" i="1"/>
  <c r="C1200" i="1" s="1"/>
  <c r="B1201" i="1"/>
  <c r="C1201" i="1" s="1"/>
  <c r="B1202" i="1"/>
  <c r="C1202" i="1" s="1"/>
  <c r="B1203" i="1"/>
  <c r="C1203" i="1" s="1"/>
  <c r="B1204" i="1"/>
  <c r="C1204" i="1" s="1"/>
  <c r="B1205" i="1"/>
  <c r="C1205" i="1" s="1"/>
  <c r="B1206" i="1"/>
  <c r="C1206" i="1" s="1"/>
  <c r="B1207" i="1"/>
  <c r="C1207" i="1" s="1"/>
  <c r="B1208" i="1"/>
  <c r="B1209" i="1"/>
  <c r="B1210" i="1"/>
  <c r="C1210" i="1" s="1"/>
  <c r="B1211" i="1"/>
  <c r="C1211" i="1" s="1"/>
  <c r="B1212" i="1"/>
  <c r="C1212" i="1" s="1"/>
  <c r="B1213" i="1"/>
  <c r="C1213" i="1" s="1"/>
  <c r="B1214" i="1"/>
  <c r="C1214" i="1" s="1"/>
  <c r="B1215" i="1"/>
  <c r="B1216" i="1"/>
  <c r="C1216" i="1" s="1"/>
  <c r="B1217" i="1"/>
  <c r="C1217" i="1" s="1"/>
  <c r="B1218" i="1"/>
  <c r="C1218" i="1" s="1"/>
  <c r="B1219" i="1"/>
  <c r="C1219" i="1" s="1"/>
  <c r="B1220" i="1"/>
  <c r="C1220" i="1" s="1"/>
  <c r="B1221" i="1"/>
  <c r="C1221" i="1" s="1"/>
  <c r="B1222" i="1"/>
  <c r="C1222" i="1" s="1"/>
  <c r="B1223" i="1"/>
  <c r="C1223" i="1" s="1"/>
  <c r="B1224" i="1"/>
  <c r="C1224" i="1" s="1"/>
  <c r="B1225" i="1"/>
  <c r="C1225" i="1" s="1"/>
  <c r="B1226" i="1"/>
  <c r="C1226" i="1" s="1"/>
  <c r="B1227" i="1"/>
  <c r="C1227" i="1" s="1"/>
  <c r="B1228" i="1"/>
  <c r="C1228" i="1" s="1"/>
  <c r="B1229" i="1"/>
  <c r="C1229" i="1" s="1"/>
  <c r="B1230" i="1"/>
  <c r="C1230" i="1" s="1"/>
  <c r="B1231" i="1"/>
  <c r="C1231" i="1" s="1"/>
  <c r="B1232" i="1"/>
  <c r="C1232" i="1" s="1"/>
  <c r="B1233" i="1"/>
  <c r="B1234" i="1"/>
  <c r="C1234" i="1" s="1"/>
  <c r="B1235" i="1"/>
  <c r="C1235" i="1" s="1"/>
  <c r="B1236" i="1"/>
  <c r="C1236" i="1" s="1"/>
  <c r="B1237" i="1"/>
  <c r="C1237" i="1" s="1"/>
  <c r="B1238" i="1"/>
  <c r="C1238" i="1" s="1"/>
  <c r="B1239" i="1"/>
  <c r="C1239" i="1" s="1"/>
  <c r="B1240" i="1"/>
  <c r="B1241" i="1"/>
  <c r="C1241" i="1" s="1"/>
  <c r="B1242" i="1"/>
  <c r="C1242" i="1" s="1"/>
  <c r="B1243" i="1"/>
  <c r="C1243" i="1" s="1"/>
  <c r="B1244" i="1"/>
  <c r="C1244" i="1" s="1"/>
  <c r="B1245" i="1"/>
  <c r="C1245" i="1" s="1"/>
  <c r="B1246" i="1"/>
  <c r="C1246" i="1" s="1"/>
  <c r="B1247" i="1"/>
  <c r="C1247" i="1" s="1"/>
  <c r="B1248" i="1"/>
  <c r="C1248" i="1" s="1"/>
  <c r="B1249" i="1"/>
  <c r="C1249" i="1" s="1"/>
  <c r="B1250" i="1"/>
  <c r="C1250" i="1" s="1"/>
  <c r="B1251" i="1"/>
  <c r="C1251" i="1" s="1"/>
  <c r="B1252" i="1"/>
  <c r="C1252" i="1" s="1"/>
  <c r="B1253" i="1"/>
  <c r="C1253" i="1" s="1"/>
  <c r="B1254" i="1"/>
  <c r="C1254" i="1" s="1"/>
  <c r="B1255" i="1"/>
  <c r="C1255" i="1" s="1"/>
  <c r="B1256" i="1"/>
  <c r="C1256" i="1" s="1"/>
  <c r="B1257" i="1"/>
  <c r="C1257" i="1" s="1"/>
  <c r="B1258" i="1"/>
  <c r="C1258" i="1" s="1"/>
  <c r="B1259" i="1"/>
  <c r="C1259" i="1" s="1"/>
  <c r="B1260" i="1"/>
  <c r="C1260" i="1" s="1"/>
  <c r="B1261" i="1"/>
  <c r="C1261" i="1" s="1"/>
  <c r="B1262" i="1"/>
  <c r="C1262" i="1" s="1"/>
  <c r="B1263" i="1"/>
  <c r="C1263" i="1" s="1"/>
  <c r="B1264" i="1"/>
  <c r="C1264" i="1" s="1"/>
  <c r="B1265" i="1"/>
  <c r="C1265" i="1" s="1"/>
  <c r="B1266" i="1"/>
  <c r="C1266" i="1" s="1"/>
  <c r="B1267" i="1"/>
  <c r="C1267" i="1" s="1"/>
  <c r="B1268" i="1"/>
  <c r="C1268" i="1" s="1"/>
  <c r="B1269" i="1"/>
  <c r="B1270" i="1"/>
  <c r="C1270" i="1" s="1"/>
  <c r="B1271" i="1"/>
  <c r="C1271" i="1" s="1"/>
  <c r="B1272" i="1"/>
  <c r="C1272" i="1" s="1"/>
  <c r="B1273" i="1"/>
  <c r="C1273" i="1" s="1"/>
  <c r="B1274" i="1"/>
  <c r="C1274" i="1" s="1"/>
  <c r="B1275" i="1"/>
  <c r="C1275" i="1" s="1"/>
  <c r="B1276" i="1"/>
  <c r="C1276" i="1" s="1"/>
  <c r="B1277" i="1"/>
  <c r="C1277" i="1" s="1"/>
  <c r="B1278" i="1"/>
  <c r="C1278" i="1" s="1"/>
  <c r="B1279" i="1"/>
  <c r="C1279" i="1" s="1"/>
  <c r="B1280" i="1"/>
  <c r="C1280" i="1" s="1"/>
  <c r="B1281" i="1"/>
  <c r="C1281" i="1" s="1"/>
  <c r="B1282" i="1"/>
  <c r="C1282" i="1" s="1"/>
  <c r="B1283" i="1"/>
  <c r="C1283" i="1" s="1"/>
  <c r="B1284" i="1"/>
  <c r="C1284" i="1" s="1"/>
  <c r="B1285" i="1"/>
  <c r="C1285" i="1" s="1"/>
  <c r="B1286" i="1"/>
  <c r="C1286" i="1" s="1"/>
  <c r="B1287" i="1"/>
  <c r="C1287" i="1" s="1"/>
  <c r="B1288" i="1"/>
  <c r="C1288" i="1" s="1"/>
  <c r="B1289" i="1"/>
  <c r="C1289" i="1" s="1"/>
  <c r="B1290" i="1"/>
  <c r="C1290" i="1" s="1"/>
  <c r="B1291" i="1"/>
  <c r="C1291" i="1" s="1"/>
  <c r="B1292" i="1"/>
  <c r="C1292" i="1" s="1"/>
  <c r="B1293" i="1"/>
  <c r="B1294" i="1"/>
  <c r="B1295" i="1"/>
  <c r="C1295" i="1" s="1"/>
  <c r="B1296" i="1"/>
  <c r="C1296" i="1" s="1"/>
  <c r="B1297" i="1"/>
  <c r="C1297" i="1" s="1"/>
  <c r="B1298" i="1"/>
  <c r="C1298" i="1" s="1"/>
  <c r="B1299" i="1"/>
  <c r="C1299" i="1" s="1"/>
  <c r="B1300" i="1"/>
  <c r="C1300" i="1" s="1"/>
  <c r="B1301" i="1"/>
  <c r="C1301" i="1" s="1"/>
  <c r="B1302" i="1"/>
  <c r="C1302" i="1" s="1"/>
  <c r="B1303" i="1"/>
  <c r="C1303" i="1" s="1"/>
  <c r="B1304" i="1"/>
  <c r="C1304" i="1" s="1"/>
  <c r="B1305" i="1"/>
  <c r="C1305" i="1" s="1"/>
  <c r="B1306" i="1"/>
  <c r="C1306" i="1" s="1"/>
  <c r="B1307" i="1"/>
  <c r="C1307" i="1" s="1"/>
  <c r="B1308" i="1"/>
  <c r="C1308" i="1" s="1"/>
  <c r="B1309" i="1"/>
  <c r="C1309" i="1" s="1"/>
  <c r="B1310" i="1"/>
  <c r="C1310" i="1" s="1"/>
  <c r="B1311" i="1"/>
  <c r="C1311" i="1" s="1"/>
  <c r="B1312" i="1"/>
  <c r="B1313" i="1"/>
  <c r="C1313" i="1" s="1"/>
  <c r="B1314" i="1"/>
  <c r="C1314" i="1" s="1"/>
  <c r="B1315" i="1"/>
  <c r="C1315" i="1" s="1"/>
  <c r="B1316" i="1"/>
  <c r="C1316" i="1" s="1"/>
  <c r="B1317" i="1"/>
  <c r="C1317" i="1" s="1"/>
  <c r="B1318" i="1"/>
  <c r="C1318" i="1" s="1"/>
  <c r="B1319" i="1"/>
  <c r="C1319" i="1" s="1"/>
  <c r="B1320" i="1"/>
  <c r="C1320" i="1" s="1"/>
  <c r="B1321" i="1"/>
  <c r="C1321" i="1" s="1"/>
  <c r="B1322" i="1"/>
  <c r="C1322" i="1" s="1"/>
  <c r="B1323" i="1"/>
  <c r="C1323" i="1" s="1"/>
  <c r="B1324" i="1"/>
  <c r="C1324" i="1" s="1"/>
  <c r="B1325" i="1"/>
  <c r="C1325" i="1" s="1"/>
  <c r="B1326" i="1"/>
  <c r="C1326" i="1" s="1"/>
  <c r="B1327" i="1"/>
  <c r="C1327" i="1" s="1"/>
  <c r="B1328" i="1"/>
  <c r="C1328" i="1" s="1"/>
  <c r="B1329" i="1"/>
  <c r="C1329" i="1" s="1"/>
  <c r="B1330" i="1"/>
  <c r="C1330" i="1" s="1"/>
  <c r="B1331" i="1"/>
  <c r="C1331" i="1" s="1"/>
  <c r="B1332" i="1"/>
  <c r="C1332" i="1" s="1"/>
  <c r="B1333" i="1"/>
  <c r="C1333" i="1" s="1"/>
  <c r="B1334" i="1"/>
  <c r="C1334" i="1" s="1"/>
  <c r="B1335" i="1"/>
  <c r="B1336" i="1"/>
  <c r="B1337" i="1"/>
  <c r="C1337" i="1" s="1"/>
  <c r="B1338" i="1"/>
  <c r="C1338" i="1" s="1"/>
  <c r="B1339" i="1"/>
  <c r="C1339" i="1" s="1"/>
  <c r="B1340" i="1"/>
  <c r="B1341" i="1"/>
  <c r="C1341" i="1" s="1"/>
  <c r="B1342" i="1"/>
  <c r="C1342" i="1" s="1"/>
  <c r="B1343" i="1"/>
  <c r="C1343" i="1" s="1"/>
  <c r="B1344" i="1"/>
  <c r="C1344" i="1" s="1"/>
  <c r="B1345" i="1"/>
  <c r="C1345" i="1" s="1"/>
  <c r="B1346" i="1"/>
  <c r="C1346" i="1" s="1"/>
  <c r="B1347" i="1"/>
  <c r="C1347" i="1" s="1"/>
  <c r="B1348" i="1"/>
  <c r="C1348" i="1" s="1"/>
  <c r="B1349" i="1"/>
  <c r="C1349" i="1" s="1"/>
  <c r="B1350" i="1"/>
  <c r="C1350" i="1" s="1"/>
  <c r="B1351" i="1"/>
  <c r="C1351" i="1" s="1"/>
  <c r="B1352" i="1"/>
  <c r="B1353" i="1"/>
  <c r="C1353" i="1" s="1"/>
  <c r="B1354" i="1"/>
  <c r="C1354" i="1" s="1"/>
  <c r="B1355" i="1"/>
  <c r="C1355" i="1" s="1"/>
  <c r="B1356" i="1"/>
  <c r="C1356" i="1" s="1"/>
  <c r="B1357" i="1"/>
  <c r="C1357" i="1" s="1"/>
  <c r="B1358" i="1"/>
  <c r="C1358" i="1" s="1"/>
  <c r="B1359" i="1"/>
  <c r="C1359" i="1" s="1"/>
  <c r="B1360" i="1"/>
  <c r="C1360" i="1" s="1"/>
  <c r="B1361" i="1"/>
  <c r="C1361" i="1" s="1"/>
  <c r="B1362" i="1"/>
  <c r="C1362" i="1" s="1"/>
  <c r="B1363" i="1"/>
  <c r="C1363" i="1" s="1"/>
  <c r="B1364" i="1"/>
  <c r="C1364" i="1" s="1"/>
  <c r="B1365" i="1"/>
  <c r="C1365" i="1" s="1"/>
  <c r="B1366" i="1"/>
  <c r="C1366" i="1" s="1"/>
  <c r="B1367" i="1"/>
  <c r="C1367" i="1" s="1"/>
  <c r="B1368" i="1"/>
  <c r="C1368" i="1" s="1"/>
  <c r="B1369" i="1"/>
  <c r="C1369" i="1" s="1"/>
  <c r="B1370" i="1"/>
  <c r="C1370" i="1" s="1"/>
  <c r="B1371" i="1"/>
  <c r="C1371" i="1" s="1"/>
  <c r="B1372" i="1"/>
  <c r="C1372" i="1" s="1"/>
  <c r="B1373" i="1"/>
  <c r="C1373" i="1" s="1"/>
  <c r="B1374" i="1"/>
  <c r="C1374" i="1" s="1"/>
  <c r="B1375" i="1"/>
  <c r="C1375" i="1" s="1"/>
  <c r="B1376" i="1"/>
  <c r="C1376" i="1" s="1"/>
  <c r="B1377" i="1"/>
  <c r="C1377" i="1" s="1"/>
  <c r="B1378" i="1"/>
  <c r="C1378" i="1" s="1"/>
  <c r="B1379" i="1"/>
  <c r="C1379" i="1" s="1"/>
  <c r="B1380" i="1"/>
  <c r="C1380" i="1" s="1"/>
  <c r="B1381" i="1"/>
  <c r="C1381" i="1" s="1"/>
  <c r="B1382" i="1"/>
  <c r="C1382" i="1" s="1"/>
  <c r="B1383" i="1"/>
  <c r="C1383" i="1" s="1"/>
  <c r="B1384" i="1"/>
  <c r="C1384" i="1" s="1"/>
  <c r="B1385" i="1"/>
  <c r="C1385" i="1" s="1"/>
  <c r="B1386" i="1"/>
  <c r="C1386" i="1" s="1"/>
  <c r="B1387" i="1"/>
  <c r="C1387" i="1" s="1"/>
  <c r="B1388" i="1"/>
  <c r="B1389" i="1"/>
  <c r="B1390" i="1"/>
  <c r="C1390" i="1" s="1"/>
  <c r="B1391" i="1"/>
  <c r="C1391" i="1" s="1"/>
  <c r="B1392" i="1"/>
  <c r="B1393" i="1"/>
  <c r="B1394" i="1"/>
  <c r="C1394" i="1" s="1"/>
  <c r="B1395" i="1"/>
  <c r="C1395" i="1" s="1"/>
  <c r="B1396" i="1"/>
  <c r="C1396" i="1" s="1"/>
  <c r="B1397" i="1"/>
  <c r="C1397" i="1" s="1"/>
  <c r="B1398" i="1"/>
  <c r="C1398" i="1" s="1"/>
  <c r="B1399" i="1"/>
  <c r="C1399" i="1" s="1"/>
  <c r="B1400" i="1"/>
  <c r="C1400" i="1" s="1"/>
  <c r="B1401" i="1"/>
  <c r="C1401" i="1" s="1"/>
  <c r="B1402" i="1"/>
  <c r="C1402" i="1" s="1"/>
  <c r="B1403" i="1"/>
  <c r="C1403" i="1" s="1"/>
  <c r="B1404" i="1"/>
  <c r="C1404" i="1" s="1"/>
  <c r="B1405" i="1"/>
  <c r="C1405" i="1" s="1"/>
  <c r="B1406" i="1"/>
  <c r="C1406" i="1" s="1"/>
  <c r="B1407" i="1"/>
  <c r="C1407" i="1" s="1"/>
  <c r="B1408" i="1"/>
  <c r="C1408" i="1" s="1"/>
  <c r="B1409" i="1"/>
  <c r="C1409" i="1" s="1"/>
  <c r="B1410" i="1"/>
  <c r="C1410" i="1" s="1"/>
  <c r="B1411" i="1"/>
  <c r="C1411" i="1" s="1"/>
  <c r="B1412" i="1"/>
  <c r="C1412" i="1" s="1"/>
  <c r="B1413" i="1"/>
  <c r="C1413" i="1" s="1"/>
  <c r="B1414" i="1"/>
  <c r="C1414" i="1" s="1"/>
  <c r="B1415" i="1"/>
  <c r="C1415" i="1" s="1"/>
  <c r="B1416" i="1"/>
  <c r="C1416" i="1" s="1"/>
  <c r="B1417" i="1"/>
  <c r="C1417" i="1" s="1"/>
  <c r="B1418" i="1"/>
  <c r="C1418" i="1" s="1"/>
  <c r="B1419" i="1"/>
  <c r="C1419" i="1" s="1"/>
  <c r="B1420" i="1"/>
  <c r="C1420" i="1" s="1"/>
  <c r="B1421" i="1"/>
  <c r="C1421" i="1" s="1"/>
  <c r="B1422" i="1"/>
  <c r="C1422" i="1" s="1"/>
  <c r="B1423" i="1"/>
  <c r="C1423" i="1" s="1"/>
  <c r="B1424" i="1"/>
  <c r="C1424" i="1" s="1"/>
  <c r="B1425" i="1"/>
  <c r="C1425" i="1" s="1"/>
  <c r="B1426" i="1"/>
  <c r="C1426" i="1" s="1"/>
  <c r="B1427" i="1"/>
  <c r="C1427" i="1" s="1"/>
  <c r="B1428" i="1"/>
  <c r="C1428" i="1" s="1"/>
  <c r="B1429" i="1"/>
  <c r="C1429" i="1" s="1"/>
  <c r="B1430" i="1"/>
  <c r="C1430" i="1" s="1"/>
  <c r="B1431" i="1"/>
  <c r="C1431" i="1" s="1"/>
  <c r="B1432" i="1"/>
  <c r="C1432" i="1" s="1"/>
  <c r="B1433" i="1"/>
  <c r="C1433" i="1" s="1"/>
  <c r="B1434" i="1"/>
  <c r="C1434" i="1" s="1"/>
  <c r="B1435" i="1"/>
  <c r="C1435" i="1" s="1"/>
  <c r="B1436" i="1"/>
  <c r="C1436" i="1" s="1"/>
  <c r="B1437" i="1"/>
  <c r="C1437" i="1" s="1"/>
  <c r="B1438" i="1"/>
  <c r="C1438" i="1" s="1"/>
  <c r="B1439" i="1"/>
  <c r="C1439" i="1" s="1"/>
  <c r="B1440" i="1"/>
  <c r="C1440" i="1" s="1"/>
  <c r="B1441" i="1"/>
  <c r="C1441" i="1" s="1"/>
  <c r="B1442" i="1"/>
  <c r="C1442" i="1" s="1"/>
  <c r="B1443" i="1"/>
  <c r="C1443" i="1" s="1"/>
  <c r="B1444" i="1"/>
  <c r="C1444" i="1" s="1"/>
  <c r="B1445" i="1"/>
  <c r="C1445" i="1" s="1"/>
  <c r="B1446" i="1"/>
  <c r="C1446" i="1" s="1"/>
  <c r="B1447" i="1"/>
  <c r="C1447" i="1" s="1"/>
  <c r="B1448" i="1"/>
  <c r="C1448" i="1" s="1"/>
  <c r="B1449" i="1"/>
  <c r="B1450" i="1"/>
  <c r="C1450" i="1" s="1"/>
  <c r="B1451" i="1"/>
  <c r="B1452" i="1"/>
  <c r="C1452" i="1" s="1"/>
  <c r="B1453" i="1"/>
  <c r="C1453" i="1" s="1"/>
  <c r="B1454" i="1"/>
  <c r="C1454" i="1" s="1"/>
  <c r="B1455" i="1"/>
  <c r="C1455" i="1" s="1"/>
  <c r="B1456" i="1"/>
  <c r="C1456" i="1" s="1"/>
  <c r="B1457" i="1"/>
  <c r="C1457" i="1" s="1"/>
  <c r="B1458" i="1"/>
  <c r="C1458" i="1" s="1"/>
  <c r="B1459" i="1"/>
  <c r="C1459" i="1" s="1"/>
  <c r="B1460" i="1"/>
  <c r="C1460" i="1" s="1"/>
  <c r="B1461" i="1"/>
  <c r="B1462" i="1"/>
  <c r="C1462" i="1" s="1"/>
  <c r="B1463" i="1"/>
  <c r="C1463" i="1" s="1"/>
  <c r="B1464" i="1"/>
  <c r="B1465" i="1"/>
  <c r="C1465" i="1" s="1"/>
  <c r="B1466" i="1"/>
  <c r="C1466" i="1" s="1"/>
  <c r="B1467" i="1"/>
  <c r="C1467" i="1" s="1"/>
  <c r="B1468" i="1"/>
  <c r="C1468" i="1" s="1"/>
  <c r="B1469" i="1"/>
  <c r="B1470" i="1"/>
  <c r="C1470" i="1" s="1"/>
  <c r="B1471" i="1"/>
  <c r="C1471" i="1" s="1"/>
  <c r="B1472" i="1"/>
  <c r="C1472" i="1" s="1"/>
  <c r="B1473" i="1"/>
  <c r="C1473" i="1" s="1"/>
  <c r="B1474" i="1"/>
  <c r="C1474" i="1" s="1"/>
  <c r="B1475" i="1"/>
  <c r="C1475" i="1" s="1"/>
  <c r="B1476" i="1"/>
  <c r="C1476" i="1" s="1"/>
  <c r="B1477" i="1"/>
  <c r="C1477" i="1" s="1"/>
  <c r="B1478" i="1"/>
  <c r="C1478" i="1" s="1"/>
  <c r="B1479" i="1"/>
  <c r="C1479" i="1" s="1"/>
  <c r="B1480" i="1"/>
  <c r="C1480" i="1" s="1"/>
  <c r="B1481" i="1"/>
  <c r="C1481" i="1" s="1"/>
  <c r="B1482" i="1"/>
  <c r="C1482" i="1" s="1"/>
  <c r="B1483" i="1"/>
  <c r="C1483" i="1" s="1"/>
  <c r="B1484" i="1"/>
  <c r="C1484" i="1" s="1"/>
  <c r="B1485" i="1"/>
  <c r="C1485" i="1" s="1"/>
  <c r="B1486" i="1"/>
  <c r="C1486" i="1" s="1"/>
  <c r="B1487" i="1"/>
  <c r="C1487" i="1" s="1"/>
  <c r="B1488" i="1"/>
  <c r="C1488" i="1" s="1"/>
  <c r="B1489" i="1"/>
  <c r="C1489" i="1" s="1"/>
  <c r="B1490" i="1"/>
  <c r="C1490" i="1" s="1"/>
  <c r="B1491" i="1"/>
  <c r="C1491" i="1" s="1"/>
  <c r="B1492" i="1"/>
  <c r="C1492" i="1" s="1"/>
  <c r="B1493" i="1"/>
  <c r="C1493" i="1" s="1"/>
  <c r="B1494" i="1"/>
  <c r="C1494" i="1" s="1"/>
  <c r="B1495" i="1"/>
  <c r="C1495" i="1" s="1"/>
  <c r="B1496" i="1"/>
  <c r="C1496" i="1" s="1"/>
  <c r="B1497" i="1"/>
  <c r="C1497" i="1" s="1"/>
  <c r="B1498" i="1"/>
  <c r="C1498" i="1" s="1"/>
  <c r="B1499" i="1"/>
  <c r="C1499" i="1" s="1"/>
  <c r="B1500" i="1"/>
  <c r="C1500" i="1" s="1"/>
  <c r="B1501" i="1"/>
  <c r="C1501" i="1" s="1"/>
  <c r="B1502" i="1"/>
  <c r="C1502" i="1" s="1"/>
  <c r="B1503" i="1"/>
  <c r="C1503" i="1" s="1"/>
  <c r="B1504" i="1"/>
  <c r="C1504" i="1" s="1"/>
  <c r="B1505" i="1"/>
  <c r="C1505" i="1" s="1"/>
  <c r="B1506" i="1"/>
  <c r="C1506" i="1" s="1"/>
  <c r="B1507" i="1"/>
  <c r="C1507" i="1" s="1"/>
  <c r="B1508" i="1"/>
  <c r="B1509" i="1"/>
  <c r="C1509" i="1" s="1"/>
  <c r="B1510" i="1"/>
  <c r="C1510" i="1" s="1"/>
  <c r="B1511" i="1"/>
  <c r="C1511" i="1" s="1"/>
  <c r="B1512" i="1"/>
  <c r="C1512" i="1" s="1"/>
  <c r="B1513" i="1"/>
  <c r="C1513" i="1" s="1"/>
  <c r="B1514" i="1"/>
  <c r="C1514" i="1" s="1"/>
  <c r="B1515" i="1"/>
  <c r="C1515" i="1" s="1"/>
  <c r="B1516" i="1"/>
  <c r="C1516" i="1" s="1"/>
  <c r="B1517" i="1"/>
  <c r="C1517" i="1" s="1"/>
  <c r="B1518" i="1"/>
  <c r="C1518" i="1" s="1"/>
  <c r="B1519" i="1"/>
  <c r="C1519" i="1" s="1"/>
  <c r="B1520" i="1"/>
  <c r="C1520" i="1" s="1"/>
  <c r="B1521" i="1"/>
  <c r="B1522" i="1"/>
  <c r="C1522" i="1" s="1"/>
  <c r="B1523" i="1"/>
  <c r="B1524" i="1"/>
  <c r="C1524" i="1" s="1"/>
  <c r="B1525" i="1"/>
  <c r="C1525" i="1" s="1"/>
  <c r="B1526" i="1"/>
  <c r="C1526" i="1" s="1"/>
  <c r="B1527" i="1"/>
  <c r="C1527" i="1" s="1"/>
  <c r="B1528" i="1"/>
  <c r="C1528" i="1" s="1"/>
  <c r="B1529" i="1"/>
  <c r="C1529" i="1" s="1"/>
  <c r="B1530" i="1"/>
  <c r="C1530" i="1" s="1"/>
  <c r="B1531" i="1"/>
  <c r="C1531" i="1" s="1"/>
  <c r="B1532" i="1"/>
  <c r="C1532" i="1" s="1"/>
  <c r="B1533" i="1"/>
  <c r="C1533" i="1" s="1"/>
  <c r="B1534" i="1"/>
  <c r="C1534" i="1" s="1"/>
  <c r="B1535" i="1"/>
  <c r="C1535" i="1" s="1"/>
  <c r="B1536" i="1"/>
  <c r="C1536" i="1" s="1"/>
  <c r="B1537" i="1"/>
  <c r="C1537" i="1" s="1"/>
  <c r="B1538" i="1"/>
  <c r="C1538" i="1" s="1"/>
  <c r="B1539" i="1"/>
  <c r="C1539" i="1" s="1"/>
  <c r="B1540" i="1"/>
  <c r="C1540" i="1" s="1"/>
  <c r="B1541" i="1"/>
  <c r="C1541" i="1" s="1"/>
  <c r="B1542" i="1"/>
  <c r="C1542" i="1" s="1"/>
  <c r="B1543" i="1"/>
  <c r="C1543" i="1" s="1"/>
  <c r="B1544" i="1"/>
  <c r="C1544" i="1" s="1"/>
  <c r="B1545" i="1"/>
  <c r="C1545" i="1" s="1"/>
  <c r="B1546" i="1"/>
  <c r="C1546" i="1" s="1"/>
  <c r="B1547" i="1"/>
  <c r="C1547" i="1" s="1"/>
  <c r="B1548" i="1"/>
  <c r="C1548" i="1" s="1"/>
  <c r="B1549" i="1"/>
  <c r="C1549" i="1" s="1"/>
  <c r="B1550" i="1"/>
  <c r="C1550" i="1" s="1"/>
  <c r="B1551" i="1"/>
  <c r="C1551" i="1" s="1"/>
  <c r="B1552" i="1"/>
  <c r="C1552" i="1" s="1"/>
  <c r="B1553" i="1"/>
  <c r="C1553" i="1" s="1"/>
  <c r="B1554" i="1"/>
  <c r="C1554" i="1" s="1"/>
  <c r="B1555" i="1"/>
  <c r="C1555" i="1" s="1"/>
  <c r="B1556" i="1"/>
  <c r="B1557" i="1"/>
  <c r="C1557" i="1" s="1"/>
  <c r="B1558" i="1"/>
  <c r="C1558" i="1" s="1"/>
  <c r="B1559" i="1"/>
  <c r="C1559" i="1" s="1"/>
  <c r="B1560" i="1"/>
  <c r="C1560" i="1" s="1"/>
  <c r="B1561" i="1"/>
  <c r="C1561" i="1" s="1"/>
  <c r="B1562" i="1"/>
  <c r="C1562" i="1" s="1"/>
  <c r="B1563" i="1"/>
  <c r="B1564" i="1"/>
  <c r="C1564" i="1" s="1"/>
  <c r="B1565" i="1"/>
  <c r="B1566" i="1"/>
  <c r="B1567" i="1"/>
  <c r="C1567" i="1" s="1"/>
  <c r="B1568" i="1"/>
  <c r="C1568" i="1" s="1"/>
  <c r="B1569" i="1"/>
  <c r="C1569" i="1" s="1"/>
  <c r="B1570" i="1"/>
  <c r="C1570" i="1" s="1"/>
  <c r="B1571" i="1"/>
  <c r="C1571" i="1" s="1"/>
  <c r="B1572" i="1"/>
  <c r="C1572" i="1" s="1"/>
  <c r="B1573" i="1"/>
  <c r="C1573" i="1" s="1"/>
  <c r="B1574" i="1"/>
  <c r="C1574" i="1" s="1"/>
  <c r="B1575" i="1"/>
  <c r="C1575" i="1" s="1"/>
  <c r="B1576" i="1"/>
  <c r="C1576" i="1" s="1"/>
  <c r="B1577" i="1"/>
  <c r="C1577" i="1" s="1"/>
  <c r="B1578" i="1"/>
  <c r="C1578" i="1" s="1"/>
  <c r="B1579" i="1"/>
  <c r="C1579" i="1" s="1"/>
  <c r="B1580" i="1"/>
  <c r="C1580" i="1" s="1"/>
  <c r="B1581" i="1"/>
  <c r="C1581" i="1" s="1"/>
  <c r="B1582" i="1"/>
  <c r="C1582" i="1" s="1"/>
  <c r="B1583" i="1"/>
  <c r="C1583" i="1" s="1"/>
  <c r="B1584" i="1"/>
  <c r="C1584" i="1" s="1"/>
  <c r="B1585" i="1"/>
  <c r="C1585" i="1" s="1"/>
  <c r="B1586" i="1"/>
  <c r="C1586" i="1" s="1"/>
  <c r="B1587" i="1"/>
  <c r="C1587" i="1" s="1"/>
  <c r="B1588" i="1"/>
  <c r="C1588" i="1" s="1"/>
  <c r="B1589" i="1"/>
  <c r="C1589" i="1" s="1"/>
  <c r="B1590" i="1"/>
  <c r="C1590" i="1" s="1"/>
  <c r="B1591" i="1"/>
  <c r="C1591" i="1" s="1"/>
  <c r="B1592" i="1"/>
  <c r="C1592" i="1" s="1"/>
  <c r="B1593" i="1"/>
  <c r="C1593" i="1" s="1"/>
  <c r="B1594" i="1"/>
  <c r="C1594" i="1" s="1"/>
  <c r="B1595" i="1"/>
  <c r="C1595" i="1" s="1"/>
  <c r="B1596" i="1"/>
  <c r="C1596" i="1" s="1"/>
  <c r="B1597" i="1"/>
  <c r="C1597" i="1" s="1"/>
  <c r="B1598" i="1"/>
  <c r="C1598" i="1" s="1"/>
  <c r="B1599" i="1"/>
  <c r="C1599" i="1" s="1"/>
  <c r="B1600" i="1"/>
  <c r="B1601" i="1"/>
  <c r="B1602" i="1"/>
  <c r="C1602" i="1" s="1"/>
  <c r="B1603" i="1"/>
  <c r="C1603" i="1" s="1"/>
  <c r="B1604" i="1"/>
  <c r="C1604" i="1" s="1"/>
  <c r="B1605" i="1"/>
  <c r="C1605" i="1" s="1"/>
  <c r="B1606" i="1"/>
  <c r="C1606" i="1" s="1"/>
  <c r="B1607" i="1"/>
  <c r="C1607" i="1" s="1"/>
  <c r="B1608" i="1"/>
  <c r="C1608" i="1" s="1"/>
  <c r="B1609" i="1"/>
  <c r="C1609" i="1" s="1"/>
  <c r="B1610" i="1"/>
  <c r="C1610" i="1" s="1"/>
  <c r="B1611" i="1"/>
  <c r="C1611" i="1" s="1"/>
  <c r="B1612" i="1"/>
  <c r="C1612" i="1" s="1"/>
  <c r="B1613" i="1"/>
  <c r="C1613" i="1" s="1"/>
  <c r="B1614" i="1"/>
  <c r="C1614" i="1" s="1"/>
  <c r="B1615" i="1"/>
  <c r="C1615" i="1" s="1"/>
  <c r="B1616" i="1"/>
  <c r="C1616" i="1" s="1"/>
  <c r="B1617" i="1"/>
  <c r="B1618" i="1"/>
  <c r="C1618" i="1" s="1"/>
  <c r="B1619" i="1"/>
  <c r="B1620" i="1"/>
  <c r="C1620" i="1" s="1"/>
  <c r="B1621" i="1"/>
  <c r="C1621" i="1" s="1"/>
  <c r="B1622" i="1"/>
  <c r="C1622" i="1" s="1"/>
  <c r="B1623" i="1"/>
  <c r="C1623" i="1" s="1"/>
  <c r="B1624" i="1"/>
  <c r="C1624" i="1" s="1"/>
  <c r="B1625" i="1"/>
  <c r="C1625" i="1" s="1"/>
  <c r="B1626" i="1"/>
  <c r="C1626" i="1" s="1"/>
  <c r="B1627" i="1"/>
  <c r="C1627" i="1" s="1"/>
  <c r="B1628" i="1"/>
  <c r="B1629" i="1"/>
  <c r="C1629" i="1" s="1"/>
  <c r="B1630" i="1"/>
  <c r="C1630" i="1" s="1"/>
  <c r="B1631" i="1"/>
  <c r="C1631" i="1" s="1"/>
  <c r="B1632" i="1"/>
  <c r="C1632" i="1" s="1"/>
  <c r="B1633" i="1"/>
  <c r="C1633" i="1" s="1"/>
  <c r="B1634" i="1"/>
  <c r="C1634" i="1" s="1"/>
  <c r="B1635" i="1"/>
  <c r="C1635" i="1" s="1"/>
  <c r="B1636" i="1"/>
  <c r="C1636" i="1" s="1"/>
  <c r="B1637" i="1"/>
  <c r="C1637" i="1" s="1"/>
  <c r="B1638" i="1"/>
  <c r="C1638" i="1" s="1"/>
  <c r="B1639" i="1"/>
  <c r="C1639" i="1" s="1"/>
  <c r="B1640" i="1"/>
  <c r="C1640" i="1" s="1"/>
  <c r="B1641" i="1"/>
  <c r="C1641" i="1" s="1"/>
  <c r="B1642" i="1"/>
  <c r="C1642" i="1" s="1"/>
  <c r="B1643" i="1"/>
  <c r="C1643" i="1" s="1"/>
  <c r="B1644" i="1"/>
  <c r="C1644" i="1" s="1"/>
  <c r="B1645" i="1"/>
  <c r="C1645" i="1" s="1"/>
  <c r="B1646" i="1"/>
  <c r="C1646" i="1" s="1"/>
  <c r="B1647" i="1"/>
  <c r="C1647" i="1" s="1"/>
  <c r="B1648" i="1"/>
  <c r="C1648" i="1" s="1"/>
  <c r="B1649" i="1"/>
  <c r="C1649" i="1" s="1"/>
  <c r="B1650" i="1"/>
  <c r="C1650" i="1" s="1"/>
  <c r="B1651" i="1"/>
  <c r="C1651" i="1" s="1"/>
  <c r="B1652" i="1"/>
  <c r="B1653" i="1"/>
  <c r="B1654" i="1"/>
  <c r="C1654" i="1" s="1"/>
  <c r="B1655" i="1"/>
  <c r="C1655" i="1" s="1"/>
  <c r="B1656" i="1"/>
  <c r="C1656" i="1" s="1"/>
  <c r="B1657" i="1"/>
  <c r="C1657" i="1" s="1"/>
  <c r="B1658" i="1"/>
  <c r="C1658" i="1" s="1"/>
  <c r="B1659" i="1"/>
  <c r="C1659" i="1" s="1"/>
  <c r="B1660" i="1"/>
  <c r="C1660" i="1" s="1"/>
  <c r="B1661" i="1"/>
  <c r="C1661" i="1" s="1"/>
  <c r="B1662" i="1"/>
  <c r="C1662" i="1" s="1"/>
  <c r="B1663" i="1"/>
  <c r="C1663" i="1" s="1"/>
  <c r="B1664" i="1"/>
  <c r="C1664" i="1" s="1"/>
  <c r="B1665" i="1"/>
  <c r="B1666" i="1"/>
  <c r="C1666" i="1" s="1"/>
  <c r="B1667" i="1"/>
  <c r="B1668" i="1"/>
  <c r="B1669" i="1"/>
  <c r="C1669" i="1" s="1"/>
  <c r="B1670" i="1"/>
  <c r="C1670" i="1" s="1"/>
  <c r="B1671" i="1"/>
  <c r="C1671" i="1" s="1"/>
  <c r="B1672" i="1"/>
  <c r="C1672" i="1" s="1"/>
  <c r="B1673" i="1"/>
  <c r="C1673" i="1" s="1"/>
  <c r="B1674" i="1"/>
  <c r="C1674" i="1" s="1"/>
  <c r="B1675" i="1"/>
  <c r="C1675" i="1" s="1"/>
  <c r="B1676" i="1"/>
  <c r="C1676" i="1" s="1"/>
  <c r="B1677" i="1"/>
  <c r="C1677" i="1" s="1"/>
  <c r="B1678" i="1"/>
  <c r="C1678" i="1" s="1"/>
  <c r="B1679" i="1"/>
  <c r="C1679" i="1" s="1"/>
  <c r="B1680" i="1"/>
  <c r="C1680" i="1" s="1"/>
  <c r="B1681" i="1"/>
  <c r="C1681" i="1" s="1"/>
  <c r="B1682" i="1"/>
  <c r="C1682" i="1" s="1"/>
  <c r="B1683" i="1"/>
  <c r="C1683" i="1" s="1"/>
  <c r="B1684" i="1"/>
  <c r="C1684" i="1" s="1"/>
  <c r="B1685" i="1"/>
  <c r="C1685" i="1" s="1"/>
  <c r="B1686" i="1"/>
  <c r="C1686" i="1" s="1"/>
  <c r="B1687" i="1"/>
  <c r="C1687" i="1" s="1"/>
  <c r="B1688" i="1"/>
  <c r="C1688" i="1" s="1"/>
  <c r="B1689" i="1"/>
  <c r="C1689" i="1" s="1"/>
  <c r="B1690" i="1"/>
  <c r="C1690" i="1" s="1"/>
  <c r="B1691" i="1"/>
  <c r="C1691" i="1" s="1"/>
  <c r="B1692" i="1"/>
  <c r="C1692" i="1" s="1"/>
  <c r="B1693" i="1"/>
  <c r="C1693" i="1" s="1"/>
  <c r="B1694" i="1"/>
  <c r="C1694" i="1" s="1"/>
  <c r="B1695" i="1"/>
  <c r="C1695" i="1" s="1"/>
  <c r="B1696" i="1"/>
  <c r="C1696" i="1" s="1"/>
  <c r="B1697" i="1"/>
  <c r="C1697" i="1" s="1"/>
  <c r="B1698" i="1"/>
  <c r="C1698" i="1" s="1"/>
  <c r="B1699" i="1"/>
  <c r="C1699" i="1" s="1"/>
  <c r="B1700" i="1"/>
  <c r="C1700" i="1" s="1"/>
  <c r="B1701" i="1"/>
  <c r="C1701" i="1" s="1"/>
  <c r="B1702" i="1"/>
  <c r="C1702" i="1" s="1"/>
  <c r="B1703" i="1"/>
  <c r="C1703" i="1" s="1"/>
  <c r="B1704" i="1"/>
  <c r="C1704" i="1" s="1"/>
  <c r="B1705" i="1"/>
  <c r="C1705" i="1" s="1"/>
  <c r="B1706" i="1"/>
  <c r="C1706" i="1" s="1"/>
  <c r="B1707" i="1"/>
  <c r="C1707" i="1" s="1"/>
  <c r="B1708" i="1"/>
  <c r="C1708" i="1" s="1"/>
  <c r="B1709" i="1"/>
  <c r="C1709" i="1" s="1"/>
  <c r="B1710" i="1"/>
  <c r="C1710" i="1" s="1"/>
  <c r="B1711" i="1"/>
  <c r="C1711" i="1" s="1"/>
  <c r="B1712" i="1"/>
  <c r="C1712" i="1" s="1"/>
  <c r="B1713" i="1"/>
  <c r="C1713" i="1" s="1"/>
  <c r="B1714" i="1"/>
  <c r="C1714" i="1" s="1"/>
  <c r="B1715" i="1"/>
  <c r="C1715" i="1" s="1"/>
  <c r="B1716" i="1"/>
  <c r="C1716" i="1" s="1"/>
  <c r="B1717" i="1"/>
  <c r="C1717" i="1" s="1"/>
  <c r="B1718" i="1"/>
  <c r="C1718" i="1" s="1"/>
  <c r="B1719" i="1"/>
  <c r="B1720" i="1"/>
  <c r="B1721" i="1"/>
  <c r="C1721" i="1" s="1"/>
  <c r="B1722" i="1"/>
  <c r="C1722" i="1" s="1"/>
  <c r="B1723" i="1"/>
  <c r="C1723" i="1" s="1"/>
  <c r="B1724" i="1"/>
  <c r="C1724" i="1" s="1"/>
  <c r="B1725" i="1"/>
  <c r="C1725" i="1" s="1"/>
  <c r="B1726" i="1"/>
  <c r="C1726" i="1" s="1"/>
  <c r="B1727" i="1"/>
  <c r="C1727" i="1" s="1"/>
  <c r="B1728" i="1"/>
  <c r="C1728" i="1" s="1"/>
  <c r="B1729" i="1"/>
  <c r="C1729" i="1" s="1"/>
  <c r="B1730" i="1"/>
  <c r="C1730" i="1" s="1"/>
  <c r="B1731" i="1"/>
  <c r="C1731" i="1" s="1"/>
  <c r="B1732" i="1"/>
  <c r="C1732" i="1" s="1"/>
  <c r="B1733" i="1"/>
  <c r="C1733" i="1" s="1"/>
  <c r="B1734" i="1"/>
  <c r="C1734" i="1" s="1"/>
  <c r="B1735" i="1"/>
  <c r="C1735" i="1" s="1"/>
  <c r="B1736" i="1"/>
  <c r="B1737" i="1"/>
  <c r="B1738" i="1"/>
  <c r="C1738" i="1" s="1"/>
  <c r="B1739" i="1"/>
  <c r="C1739" i="1" s="1"/>
  <c r="B1740" i="1"/>
  <c r="C1740" i="1" s="1"/>
  <c r="B1741" i="1"/>
  <c r="C1741" i="1" s="1"/>
  <c r="B1742" i="1"/>
  <c r="C1742" i="1" s="1"/>
  <c r="B1743" i="1"/>
  <c r="C1743" i="1" s="1"/>
  <c r="B1744" i="1"/>
  <c r="C1744" i="1" s="1"/>
  <c r="B1745" i="1"/>
  <c r="C1745" i="1" s="1"/>
  <c r="B1746" i="1"/>
  <c r="C1746" i="1" s="1"/>
  <c r="B1747" i="1"/>
  <c r="C1747" i="1" s="1"/>
  <c r="B1748" i="1"/>
  <c r="C1748" i="1" s="1"/>
  <c r="B1749" i="1"/>
  <c r="C1749" i="1" s="1"/>
  <c r="B1750" i="1"/>
  <c r="C1750" i="1" s="1"/>
  <c r="B1751" i="1"/>
  <c r="C1751" i="1" s="1"/>
  <c r="B1752" i="1"/>
  <c r="C1752" i="1" s="1"/>
  <c r="B1753" i="1"/>
  <c r="C1753" i="1" s="1"/>
  <c r="B1754" i="1"/>
  <c r="C1754" i="1" s="1"/>
  <c r="B1755" i="1"/>
  <c r="C1755" i="1" s="1"/>
  <c r="B1756" i="1"/>
  <c r="C1756" i="1" s="1"/>
  <c r="B1757" i="1"/>
  <c r="C1757" i="1" s="1"/>
  <c r="B1758" i="1"/>
  <c r="C1758" i="1" s="1"/>
  <c r="B1759" i="1"/>
  <c r="C1759" i="1" s="1"/>
  <c r="B1760" i="1"/>
  <c r="C1760" i="1" s="1"/>
  <c r="B1761" i="1"/>
  <c r="C1761" i="1" s="1"/>
  <c r="B1762" i="1"/>
  <c r="C1762" i="1" s="1"/>
  <c r="B1763" i="1"/>
  <c r="C1763" i="1" s="1"/>
  <c r="B1764" i="1"/>
  <c r="C1764" i="1" s="1"/>
  <c r="B1765" i="1"/>
  <c r="C1765" i="1" s="1"/>
  <c r="B1766" i="1"/>
  <c r="C1766" i="1" s="1"/>
  <c r="B1767" i="1"/>
  <c r="C1767" i="1" s="1"/>
  <c r="B1768" i="1"/>
  <c r="C1768" i="1" s="1"/>
  <c r="B1769" i="1"/>
  <c r="C1769" i="1" s="1"/>
  <c r="B1770" i="1"/>
  <c r="C1770" i="1" s="1"/>
  <c r="B1771" i="1"/>
  <c r="C1771" i="1" s="1"/>
  <c r="B1772" i="1"/>
  <c r="C1772" i="1" s="1"/>
  <c r="B1773" i="1"/>
  <c r="B1774" i="1"/>
  <c r="B1775" i="1"/>
  <c r="C1775" i="1" s="1"/>
  <c r="B1776" i="1"/>
  <c r="C1776" i="1" s="1"/>
  <c r="B1777" i="1"/>
  <c r="C1777" i="1" s="1"/>
  <c r="B1778" i="1"/>
  <c r="C1778" i="1" s="1"/>
  <c r="B1779" i="1"/>
  <c r="C1779" i="1" s="1"/>
  <c r="B1780" i="1"/>
  <c r="C1780" i="1" s="1"/>
  <c r="B1781" i="1"/>
  <c r="C1781" i="1" s="1"/>
  <c r="B1782" i="1"/>
  <c r="C1782" i="1" s="1"/>
  <c r="B1783" i="1"/>
  <c r="C1783" i="1" s="1"/>
  <c r="B1784" i="1"/>
  <c r="C1784" i="1" s="1"/>
  <c r="B1785" i="1"/>
  <c r="B1786" i="1"/>
  <c r="B1787" i="1"/>
  <c r="B1788" i="1"/>
  <c r="C1788" i="1" s="1"/>
  <c r="B1789" i="1"/>
  <c r="C1789" i="1" s="1"/>
  <c r="B1790" i="1"/>
  <c r="C1790" i="1" s="1"/>
  <c r="B1791" i="1"/>
  <c r="C1791" i="1" s="1"/>
  <c r="B1792" i="1"/>
  <c r="C1792" i="1" s="1"/>
  <c r="B1793" i="1"/>
  <c r="C1793" i="1" s="1"/>
  <c r="B1794" i="1"/>
  <c r="C1794" i="1" s="1"/>
  <c r="B1795" i="1"/>
  <c r="C1795" i="1" s="1"/>
  <c r="B1796" i="1"/>
  <c r="C1796" i="1" s="1"/>
  <c r="B1797" i="1"/>
  <c r="C1797" i="1" s="1"/>
  <c r="B1798" i="1"/>
  <c r="C1798" i="1" s="1"/>
  <c r="B1799" i="1"/>
  <c r="C1799" i="1" s="1"/>
  <c r="B1800" i="1"/>
  <c r="C1800" i="1" s="1"/>
  <c r="B1801" i="1"/>
  <c r="C1801" i="1" s="1"/>
  <c r="B1802" i="1"/>
  <c r="C1802" i="1" s="1"/>
  <c r="B1803" i="1"/>
  <c r="C1803" i="1" s="1"/>
  <c r="B1804" i="1"/>
  <c r="C1804" i="1" s="1"/>
  <c r="B1805" i="1"/>
  <c r="B1806" i="1"/>
  <c r="C1806" i="1" s="1"/>
  <c r="B1807" i="1"/>
  <c r="C1807" i="1" s="1"/>
  <c r="B1808" i="1"/>
  <c r="C1808" i="1" s="1"/>
  <c r="B1809" i="1"/>
  <c r="B1810" i="1"/>
  <c r="C1810" i="1" s="1"/>
  <c r="B1811" i="1"/>
  <c r="C1811" i="1" s="1"/>
  <c r="B1812" i="1"/>
  <c r="C1812" i="1" s="1"/>
  <c r="B1813" i="1"/>
  <c r="C1813" i="1" s="1"/>
  <c r="B1814" i="1"/>
  <c r="C1814" i="1" s="1"/>
  <c r="B1815" i="1"/>
  <c r="C1815" i="1" s="1"/>
  <c r="B1816" i="1"/>
  <c r="C1816" i="1" s="1"/>
  <c r="B1817" i="1"/>
  <c r="C1817" i="1" s="1"/>
  <c r="B1818" i="1"/>
  <c r="C1818" i="1" s="1"/>
  <c r="B1819" i="1"/>
  <c r="C1819" i="1" s="1"/>
  <c r="B1820" i="1"/>
  <c r="C1820" i="1" s="1"/>
  <c r="B1821" i="1"/>
  <c r="C1821" i="1" s="1"/>
  <c r="B1822" i="1"/>
  <c r="C1822" i="1" s="1"/>
  <c r="B1823" i="1"/>
  <c r="C1823" i="1" s="1"/>
  <c r="B1824" i="1"/>
  <c r="C1824" i="1" s="1"/>
  <c r="B1825" i="1"/>
  <c r="C1825" i="1" s="1"/>
  <c r="B1826" i="1"/>
  <c r="C1826" i="1" s="1"/>
  <c r="B2" i="1"/>
  <c r="C2" i="1" s="1"/>
</calcChain>
</file>

<file path=xl/sharedStrings.xml><?xml version="1.0" encoding="utf-8"?>
<sst xmlns="http://schemas.openxmlformats.org/spreadsheetml/2006/main" count="5606" uniqueCount="407">
  <si>
    <t>Date</t>
  </si>
  <si>
    <t>Category</t>
  </si>
  <si>
    <t>Sales</t>
  </si>
  <si>
    <t>Quantity</t>
  </si>
  <si>
    <t>Profit</t>
  </si>
  <si>
    <t>Region</t>
  </si>
  <si>
    <t>1/1/2023</t>
  </si>
  <si>
    <t>Electronics</t>
  </si>
  <si>
    <t>North</t>
  </si>
  <si>
    <t>Clothing</t>
  </si>
  <si>
    <t>East</t>
  </si>
  <si>
    <t>Home Goods</t>
  </si>
  <si>
    <t>South</t>
  </si>
  <si>
    <t>Sports</t>
  </si>
  <si>
    <t>West</t>
  </si>
  <si>
    <t>1/2/2023</t>
  </si>
  <si>
    <t>Books</t>
  </si>
  <si>
    <t>1/3/2023</t>
  </si>
  <si>
    <t>1/4/2023</t>
  </si>
  <si>
    <t>1/5/2023</t>
  </si>
  <si>
    <t>1/6/2023</t>
  </si>
  <si>
    <t>1/7/2023</t>
  </si>
  <si>
    <t>1/8/2023</t>
  </si>
  <si>
    <t>1/9/2023</t>
  </si>
  <si>
    <t>1/10/2023</t>
  </si>
  <si>
    <t>1/11/2023</t>
  </si>
  <si>
    <t>1/12/2023</t>
  </si>
  <si>
    <t>1/13/2023</t>
  </si>
  <si>
    <t>1/14/2023</t>
  </si>
  <si>
    <t>1/15/2023</t>
  </si>
  <si>
    <t>1/16/2023</t>
  </si>
  <si>
    <t>1/17/2023</t>
  </si>
  <si>
    <t>1/18/2023</t>
  </si>
  <si>
    <t>1/19/2023</t>
  </si>
  <si>
    <t>1/20/2023</t>
  </si>
  <si>
    <t>1/21/2023</t>
  </si>
  <si>
    <t>1/22/2023</t>
  </si>
  <si>
    <t>1/23/2023</t>
  </si>
  <si>
    <t>1/24/2023</t>
  </si>
  <si>
    <t>1/25/2023</t>
  </si>
  <si>
    <t>1/26/2023</t>
  </si>
  <si>
    <t>1/27/2023</t>
  </si>
  <si>
    <t>1/28/2023</t>
  </si>
  <si>
    <t>1/29/2023</t>
  </si>
  <si>
    <t>1/30/2023</t>
  </si>
  <si>
    <t>1/31/2023</t>
  </si>
  <si>
    <t>2/1/2023</t>
  </si>
  <si>
    <t>2/2/2023</t>
  </si>
  <si>
    <t>2/3/2023</t>
  </si>
  <si>
    <t>2/4/2023</t>
  </si>
  <si>
    <t>2/5/2023</t>
  </si>
  <si>
    <t>2/6/2023</t>
  </si>
  <si>
    <t>2/7/2023</t>
  </si>
  <si>
    <t>2/8/2023</t>
  </si>
  <si>
    <t>2/9/2023</t>
  </si>
  <si>
    <t>2/10/2023</t>
  </si>
  <si>
    <t>2/11/2023</t>
  </si>
  <si>
    <t>2/12/2023</t>
  </si>
  <si>
    <t>2/13/2023</t>
  </si>
  <si>
    <t>2/14/2023</t>
  </si>
  <si>
    <t>2/15/2023</t>
  </si>
  <si>
    <t>2/16/2023</t>
  </si>
  <si>
    <t>2/17/2023</t>
  </si>
  <si>
    <t>2/18/2023</t>
  </si>
  <si>
    <t>2/19/2023</t>
  </si>
  <si>
    <t>2/20/2023</t>
  </si>
  <si>
    <t>2/21/2023</t>
  </si>
  <si>
    <t>2/22/2023</t>
  </si>
  <si>
    <t>2/23/2023</t>
  </si>
  <si>
    <t>2/24/2023</t>
  </si>
  <si>
    <t>2/25/2023</t>
  </si>
  <si>
    <t>2/26/2023</t>
  </si>
  <si>
    <t>2/27/2023</t>
  </si>
  <si>
    <t>2/28/2023</t>
  </si>
  <si>
    <t>3/1/2023</t>
  </si>
  <si>
    <t>3/2/2023</t>
  </si>
  <si>
    <t>3/3/2023</t>
  </si>
  <si>
    <t>3/4/2023</t>
  </si>
  <si>
    <t>3/5/2023</t>
  </si>
  <si>
    <t>3/6/2023</t>
  </si>
  <si>
    <t>3/7/2023</t>
  </si>
  <si>
    <t>3/8/2023</t>
  </si>
  <si>
    <t>3/9/2023</t>
  </si>
  <si>
    <t>3/10/2023</t>
  </si>
  <si>
    <t>3/11/2023</t>
  </si>
  <si>
    <t>3/12/2023</t>
  </si>
  <si>
    <t>3/13/2023</t>
  </si>
  <si>
    <t>3/14/2023</t>
  </si>
  <si>
    <t>3/15/2023</t>
  </si>
  <si>
    <t>3/16/2023</t>
  </si>
  <si>
    <t>3/17/2023</t>
  </si>
  <si>
    <t>3/18/2023</t>
  </si>
  <si>
    <t>3/19/2023</t>
  </si>
  <si>
    <t>3/20/2023</t>
  </si>
  <si>
    <t>3/21/2023</t>
  </si>
  <si>
    <t>3/22/2023</t>
  </si>
  <si>
    <t>3/23/2023</t>
  </si>
  <si>
    <t>3/24/2023</t>
  </si>
  <si>
    <t>3/25/2023</t>
  </si>
  <si>
    <t>3/26/2023</t>
  </si>
  <si>
    <t>3/27/2023</t>
  </si>
  <si>
    <t>3/28/2023</t>
  </si>
  <si>
    <t>3/29/2023</t>
  </si>
  <si>
    <t>3/30/2023</t>
  </si>
  <si>
    <t>3/31/2023</t>
  </si>
  <si>
    <t>4/1/2023</t>
  </si>
  <si>
    <t>4/2/2023</t>
  </si>
  <si>
    <t>4/3/2023</t>
  </si>
  <si>
    <t>4/4/2023</t>
  </si>
  <si>
    <t>4/5/2023</t>
  </si>
  <si>
    <t>4/6/2023</t>
  </si>
  <si>
    <t>4/7/2023</t>
  </si>
  <si>
    <t>4/8/2023</t>
  </si>
  <si>
    <t>4/9/2023</t>
  </si>
  <si>
    <t>4/10/2023</t>
  </si>
  <si>
    <t>4/11/2023</t>
  </si>
  <si>
    <t>4/12/2023</t>
  </si>
  <si>
    <t>4/13/2023</t>
  </si>
  <si>
    <t>4/14/2023</t>
  </si>
  <si>
    <t>4/15/2023</t>
  </si>
  <si>
    <t>4/16/2023</t>
  </si>
  <si>
    <t>4/17/2023</t>
  </si>
  <si>
    <t>4/18/2023</t>
  </si>
  <si>
    <t>4/19/2023</t>
  </si>
  <si>
    <t>4/20/2023</t>
  </si>
  <si>
    <t>4/21/2023</t>
  </si>
  <si>
    <t>4/22/2023</t>
  </si>
  <si>
    <t>4/23/2023</t>
  </si>
  <si>
    <t>4/24/2023</t>
  </si>
  <si>
    <t>4/25/2023</t>
  </si>
  <si>
    <t>4/26/2023</t>
  </si>
  <si>
    <t>4/27/2023</t>
  </si>
  <si>
    <t>4/28/2023</t>
  </si>
  <si>
    <t>4/29/2023</t>
  </si>
  <si>
    <t>4/30/2023</t>
  </si>
  <si>
    <t>5/1/2023</t>
  </si>
  <si>
    <t>5/2/2023</t>
  </si>
  <si>
    <t>5/3/2023</t>
  </si>
  <si>
    <t>5/4/2023</t>
  </si>
  <si>
    <t>5/5/2023</t>
  </si>
  <si>
    <t>5/6/2023</t>
  </si>
  <si>
    <t>5/7/2023</t>
  </si>
  <si>
    <t>5/8/2023</t>
  </si>
  <si>
    <t>5/9/2023</t>
  </si>
  <si>
    <t>5/10/2023</t>
  </si>
  <si>
    <t>5/11/2023</t>
  </si>
  <si>
    <t>5/12/2023</t>
  </si>
  <si>
    <t>5/13/2023</t>
  </si>
  <si>
    <t>5/14/2023</t>
  </si>
  <si>
    <t>5/15/2023</t>
  </si>
  <si>
    <t>5/16/2023</t>
  </si>
  <si>
    <t>5/17/2023</t>
  </si>
  <si>
    <t>5/18/2023</t>
  </si>
  <si>
    <t>5/19/2023</t>
  </si>
  <si>
    <t>5/20/2023</t>
  </si>
  <si>
    <t>5/21/2023</t>
  </si>
  <si>
    <t>5/22/2023</t>
  </si>
  <si>
    <t>5/23/2023</t>
  </si>
  <si>
    <t>5/24/2023</t>
  </si>
  <si>
    <t>5/25/2023</t>
  </si>
  <si>
    <t>5/26/2023</t>
  </si>
  <si>
    <t>5/27/2023</t>
  </si>
  <si>
    <t>5/28/2023</t>
  </si>
  <si>
    <t>5/29/2023</t>
  </si>
  <si>
    <t>5/30/2023</t>
  </si>
  <si>
    <t>5/31/2023</t>
  </si>
  <si>
    <t>6/1/2023</t>
  </si>
  <si>
    <t>6/2/2023</t>
  </si>
  <si>
    <t>6/3/2023</t>
  </si>
  <si>
    <t>6/4/2023</t>
  </si>
  <si>
    <t>6/5/2023</t>
  </si>
  <si>
    <t>6/6/2023</t>
  </si>
  <si>
    <t>6/7/2023</t>
  </si>
  <si>
    <t>6/8/2023</t>
  </si>
  <si>
    <t>6/9/2023</t>
  </si>
  <si>
    <t>6/10/2023</t>
  </si>
  <si>
    <t>6/11/2023</t>
  </si>
  <si>
    <t>6/12/2023</t>
  </si>
  <si>
    <t>6/13/2023</t>
  </si>
  <si>
    <t>6/14/2023</t>
  </si>
  <si>
    <t>6/15/2023</t>
  </si>
  <si>
    <t>6/16/2023</t>
  </si>
  <si>
    <t>6/17/2023</t>
  </si>
  <si>
    <t>6/18/2023</t>
  </si>
  <si>
    <t>6/19/2023</t>
  </si>
  <si>
    <t>6/20/2023</t>
  </si>
  <si>
    <t>6/21/2023</t>
  </si>
  <si>
    <t>6/22/2023</t>
  </si>
  <si>
    <t>6/23/2023</t>
  </si>
  <si>
    <t>6/24/2023</t>
  </si>
  <si>
    <t>6/25/2023</t>
  </si>
  <si>
    <t>6/26/2023</t>
  </si>
  <si>
    <t>6/27/2023</t>
  </si>
  <si>
    <t>6/28/2023</t>
  </si>
  <si>
    <t>6/29/2023</t>
  </si>
  <si>
    <t>6/30/2023</t>
  </si>
  <si>
    <t>7/1/2023</t>
  </si>
  <si>
    <t>7/2/2023</t>
  </si>
  <si>
    <t>7/3/2023</t>
  </si>
  <si>
    <t>7/4/2023</t>
  </si>
  <si>
    <t>7/5/2023</t>
  </si>
  <si>
    <t>7/6/2023</t>
  </si>
  <si>
    <t>7/7/2023</t>
  </si>
  <si>
    <t>7/8/2023</t>
  </si>
  <si>
    <t>7/9/2023</t>
  </si>
  <si>
    <t>7/10/2023</t>
  </si>
  <si>
    <t>7/11/2023</t>
  </si>
  <si>
    <t>7/12/2023</t>
  </si>
  <si>
    <t>7/13/2023</t>
  </si>
  <si>
    <t>7/14/2023</t>
  </si>
  <si>
    <t>7/15/2023</t>
  </si>
  <si>
    <t>7/16/2023</t>
  </si>
  <si>
    <t>7/17/2023</t>
  </si>
  <si>
    <t>7/18/2023</t>
  </si>
  <si>
    <t>7/19/2023</t>
  </si>
  <si>
    <t>7/20/2023</t>
  </si>
  <si>
    <t>7/21/2023</t>
  </si>
  <si>
    <t>7/22/2023</t>
  </si>
  <si>
    <t>7/23/2023</t>
  </si>
  <si>
    <t>7/24/2023</t>
  </si>
  <si>
    <t>7/25/2023</t>
  </si>
  <si>
    <t>7/26/2023</t>
  </si>
  <si>
    <t>7/27/2023</t>
  </si>
  <si>
    <t>7/28/2023</t>
  </si>
  <si>
    <t>7/29/2023</t>
  </si>
  <si>
    <t>7/30/2023</t>
  </si>
  <si>
    <t>7/31/2023</t>
  </si>
  <si>
    <t>8/1/2023</t>
  </si>
  <si>
    <t>8/2/2023</t>
  </si>
  <si>
    <t>8/3/2023</t>
  </si>
  <si>
    <t>8/4/2023</t>
  </si>
  <si>
    <t>8/5/2023</t>
  </si>
  <si>
    <t>8/6/2023</t>
  </si>
  <si>
    <t>8/7/2023</t>
  </si>
  <si>
    <t>8/8/2023</t>
  </si>
  <si>
    <t>8/9/2023</t>
  </si>
  <si>
    <t>8/10/2023</t>
  </si>
  <si>
    <t>8/11/2023</t>
  </si>
  <si>
    <t>8/12/2023</t>
  </si>
  <si>
    <t>8/13/2023</t>
  </si>
  <si>
    <t>8/14/2023</t>
  </si>
  <si>
    <t>8/15/2023</t>
  </si>
  <si>
    <t>8/16/2023</t>
  </si>
  <si>
    <t>8/17/2023</t>
  </si>
  <si>
    <t>8/18/2023</t>
  </si>
  <si>
    <t>8/19/2023</t>
  </si>
  <si>
    <t>8/20/2023</t>
  </si>
  <si>
    <t>8/21/2023</t>
  </si>
  <si>
    <t>8/22/2023</t>
  </si>
  <si>
    <t>8/23/2023</t>
  </si>
  <si>
    <t>8/24/2023</t>
  </si>
  <si>
    <t>8/25/2023</t>
  </si>
  <si>
    <t>8/26/2023</t>
  </si>
  <si>
    <t>8/27/2023</t>
  </si>
  <si>
    <t>8/28/2023</t>
  </si>
  <si>
    <t>8/29/2023</t>
  </si>
  <si>
    <t>8/30/2023</t>
  </si>
  <si>
    <t>8/31/2023</t>
  </si>
  <si>
    <t>9/1/2023</t>
  </si>
  <si>
    <t>9/2/2023</t>
  </si>
  <si>
    <t>9/3/2023</t>
  </si>
  <si>
    <t>9/4/2023</t>
  </si>
  <si>
    <t>9/5/2023</t>
  </si>
  <si>
    <t>9/6/2023</t>
  </si>
  <si>
    <t>9/7/2023</t>
  </si>
  <si>
    <t>9/8/2023</t>
  </si>
  <si>
    <t>9/9/2023</t>
  </si>
  <si>
    <t>9/10/2023</t>
  </si>
  <si>
    <t>9/11/2023</t>
  </si>
  <si>
    <t>9/12/2023</t>
  </si>
  <si>
    <t>9/13/2023</t>
  </si>
  <si>
    <t>9/14/2023</t>
  </si>
  <si>
    <t>9/15/2023</t>
  </si>
  <si>
    <t>9/16/2023</t>
  </si>
  <si>
    <t>9/17/2023</t>
  </si>
  <si>
    <t>9/18/2023</t>
  </si>
  <si>
    <t>9/19/2023</t>
  </si>
  <si>
    <t>9/20/2023</t>
  </si>
  <si>
    <t>9/21/2023</t>
  </si>
  <si>
    <t>9/22/2023</t>
  </si>
  <si>
    <t>9/23/2023</t>
  </si>
  <si>
    <t>9/24/2023</t>
  </si>
  <si>
    <t>9/25/2023</t>
  </si>
  <si>
    <t>9/26/2023</t>
  </si>
  <si>
    <t>9/27/2023</t>
  </si>
  <si>
    <t>9/28/2023</t>
  </si>
  <si>
    <t>9/29/2023</t>
  </si>
  <si>
    <t>9/30/2023</t>
  </si>
  <si>
    <t>10/1/2023</t>
  </si>
  <si>
    <t>10/2/2023</t>
  </si>
  <si>
    <t>10/3/2023</t>
  </si>
  <si>
    <t>10/4/2023</t>
  </si>
  <si>
    <t>10/5/2023</t>
  </si>
  <si>
    <t>10/6/2023</t>
  </si>
  <si>
    <t>10/7/2023</t>
  </si>
  <si>
    <t>10/8/2023</t>
  </si>
  <si>
    <t>10/9/2023</t>
  </si>
  <si>
    <t>10/10/2023</t>
  </si>
  <si>
    <t>10/11/2023</t>
  </si>
  <si>
    <t>10/12/2023</t>
  </si>
  <si>
    <t>10/13/2023</t>
  </si>
  <si>
    <t>10/14/2023</t>
  </si>
  <si>
    <t>10/15/2023</t>
  </si>
  <si>
    <t>10/16/2023</t>
  </si>
  <si>
    <t>10/17/2023</t>
  </si>
  <si>
    <t>10/18/2023</t>
  </si>
  <si>
    <t>10/19/2023</t>
  </si>
  <si>
    <t>10/20/2023</t>
  </si>
  <si>
    <t>10/21/2023</t>
  </si>
  <si>
    <t>10/22/2023</t>
  </si>
  <si>
    <t>10/23/2023</t>
  </si>
  <si>
    <t>10/24/2023</t>
  </si>
  <si>
    <t>10/25/2023</t>
  </si>
  <si>
    <t>10/26/2023</t>
  </si>
  <si>
    <t>10/27/2023</t>
  </si>
  <si>
    <t>10/28/2023</t>
  </si>
  <si>
    <t>10/29/2023</t>
  </si>
  <si>
    <t>10/30/2023</t>
  </si>
  <si>
    <t>10/31/2023</t>
  </si>
  <si>
    <t>11/1/2023</t>
  </si>
  <si>
    <t>11/2/2023</t>
  </si>
  <si>
    <t>11/3/2023</t>
  </si>
  <si>
    <t>11/4/2023</t>
  </si>
  <si>
    <t>11/5/2023</t>
  </si>
  <si>
    <t>11/6/2023</t>
  </si>
  <si>
    <t>11/7/2023</t>
  </si>
  <si>
    <t>11/8/2023</t>
  </si>
  <si>
    <t>11/9/2023</t>
  </si>
  <si>
    <t>11/10/2023</t>
  </si>
  <si>
    <t>11/11/2023</t>
  </si>
  <si>
    <t>11/12/2023</t>
  </si>
  <si>
    <t>11/13/2023</t>
  </si>
  <si>
    <t>11/14/2023</t>
  </si>
  <si>
    <t>11/15/2023</t>
  </si>
  <si>
    <t>11/16/2023</t>
  </si>
  <si>
    <t>11/17/2023</t>
  </si>
  <si>
    <t>11/18/2023</t>
  </si>
  <si>
    <t>11/19/2023</t>
  </si>
  <si>
    <t>11/20/2023</t>
  </si>
  <si>
    <t>11/21/2023</t>
  </si>
  <si>
    <t>11/22/2023</t>
  </si>
  <si>
    <t>11/23/2023</t>
  </si>
  <si>
    <t>11/24/2023</t>
  </si>
  <si>
    <t>11/25/2023</t>
  </si>
  <si>
    <t>11/26/2023</t>
  </si>
  <si>
    <t>11/27/2023</t>
  </si>
  <si>
    <t>11/28/2023</t>
  </si>
  <si>
    <t>11/29/2023</t>
  </si>
  <si>
    <t>11/30/2023</t>
  </si>
  <si>
    <t>12/1/2023</t>
  </si>
  <si>
    <t>12/2/2023</t>
  </si>
  <si>
    <t>12/3/2023</t>
  </si>
  <si>
    <t>12/4/2023</t>
  </si>
  <si>
    <t>12/5/2023</t>
  </si>
  <si>
    <t>12/6/2023</t>
  </si>
  <si>
    <t>12/7/2023</t>
  </si>
  <si>
    <t>12/8/2023</t>
  </si>
  <si>
    <t>12/9/2023</t>
  </si>
  <si>
    <t>12/10/2023</t>
  </si>
  <si>
    <t>12/11/2023</t>
  </si>
  <si>
    <t>12/12/2023</t>
  </si>
  <si>
    <t>12/13/2023</t>
  </si>
  <si>
    <t>12/14/2023</t>
  </si>
  <si>
    <t>12/15/2023</t>
  </si>
  <si>
    <t>12/16/2023</t>
  </si>
  <si>
    <t>12/17/2023</t>
  </si>
  <si>
    <t>12/18/2023</t>
  </si>
  <si>
    <t>12/19/2023</t>
  </si>
  <si>
    <t>12/20/2023</t>
  </si>
  <si>
    <t>12/21/2023</t>
  </si>
  <si>
    <t>12/22/2023</t>
  </si>
  <si>
    <t>12/23/2023</t>
  </si>
  <si>
    <t>12/24/2023</t>
  </si>
  <si>
    <t>12/25/2023</t>
  </si>
  <si>
    <t>12/26/2023</t>
  </si>
  <si>
    <t>12/27/2023</t>
  </si>
  <si>
    <t>12/28/2023</t>
  </si>
  <si>
    <t>12/29/2023</t>
  </si>
  <si>
    <t>12/30/2023</t>
  </si>
  <si>
    <t>12/31/2023</t>
  </si>
  <si>
    <t>Unknown</t>
  </si>
  <si>
    <t>Day</t>
  </si>
  <si>
    <t>Month</t>
  </si>
  <si>
    <t>Year</t>
  </si>
  <si>
    <t>Converted Date</t>
  </si>
  <si>
    <t>Row Labels</t>
  </si>
  <si>
    <t>Sum of Profit</t>
  </si>
  <si>
    <t>Grand Total</t>
  </si>
  <si>
    <t>Sum of Sales</t>
  </si>
  <si>
    <t>Sum of Quantity</t>
  </si>
  <si>
    <t>Column Labels</t>
  </si>
  <si>
    <t>January</t>
  </si>
  <si>
    <t>February</t>
  </si>
  <si>
    <t>March</t>
  </si>
  <si>
    <t>April</t>
  </si>
  <si>
    <t>May</t>
  </si>
  <si>
    <t>June</t>
  </si>
  <si>
    <t>July</t>
  </si>
  <si>
    <t>August</t>
  </si>
  <si>
    <t>September</t>
  </si>
  <si>
    <t>October</t>
  </si>
  <si>
    <t>November</t>
  </si>
  <si>
    <t>December</t>
  </si>
  <si>
    <t>Total Transactions</t>
  </si>
  <si>
    <t>Total sales</t>
  </si>
  <si>
    <t>Total Quantity</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</si>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</sst>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m/d/yyyy;@"/>
    <numFmt numFmtId="165" formatCode="_-* #,##0_-;\-* #,##0_-;_-*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249977111117893"/>
        <bgColor indexed="64"/>
      </patternFill>
    </fill>
    <fill>
      <patternFill patternType="solid">
        <fgColor theme="1" tint="0.34998626667073579"/>
        <bgColor indexed="64"/>
      </patternFill>
    </fill>
    <fill>
      <patternFill patternType="solid">
        <fgColor theme="3" tint="0.89999084444715716"/>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ouble">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21">
    <xf numFmtId="0" fontId="0" fillId="0" borderId="0" xfId="0"/>
    <xf numFmtId="164" fontId="0" fillId="0" borderId="0" xfId="0" applyNumberFormat="1"/>
    <xf numFmtId="43" fontId="0" fillId="0" borderId="0" xfId="42" applyFont="1"/>
    <xf numFmtId="0" fontId="0" fillId="0" borderId="0" xfId="0" applyAlignment="1">
      <alignment horizontal="center"/>
    </xf>
    <xf numFmtId="2" fontId="0" fillId="0" borderId="0" xfId="0" applyNumberFormat="1"/>
    <xf numFmtId="2" fontId="0" fillId="0" borderId="0" xfId="42" applyNumberFormat="1" applyFont="1"/>
    <xf numFmtId="164" fontId="17" fillId="33" borderId="0" xfId="0" applyNumberFormat="1" applyFont="1" applyFill="1" applyAlignment="1">
      <alignment horizontal="center"/>
    </xf>
    <xf numFmtId="0" fontId="17" fillId="33" borderId="0" xfId="0" applyFont="1" applyFill="1" applyAlignment="1">
      <alignment horizontal="center"/>
    </xf>
    <xf numFmtId="2" fontId="17" fillId="33" borderId="0" xfId="0" applyNumberFormat="1" applyFont="1" applyFill="1" applyAlignment="1">
      <alignment horizontal="center"/>
    </xf>
    <xf numFmtId="1" fontId="17" fillId="33" borderId="0" xfId="0" applyNumberFormat="1" applyFont="1" applyFill="1" applyAlignment="1">
      <alignment horizontal="center"/>
    </xf>
    <xf numFmtId="1" fontId="0" fillId="0" borderId="0" xfId="0" applyNumberFormat="1"/>
    <xf numFmtId="49" fontId="0" fillId="0" borderId="0" xfId="0" applyNumberFormat="1"/>
    <xf numFmtId="0" fontId="17" fillId="33" borderId="0" xfId="0" applyFont="1" applyFill="1"/>
    <xf numFmtId="0" fontId="0" fillId="0" borderId="0" xfId="0" pivotButton="1"/>
    <xf numFmtId="0" fontId="0" fillId="0" borderId="0" xfId="0" applyAlignment="1">
      <alignment horizontal="left"/>
    </xf>
    <xf numFmtId="43" fontId="0" fillId="0" borderId="0" xfId="0" applyNumberFormat="1"/>
    <xf numFmtId="165" fontId="0" fillId="0" borderId="0" xfId="0" applyNumberFormat="1"/>
    <xf numFmtId="0" fontId="0" fillId="0" borderId="10" xfId="0" applyBorder="1"/>
    <xf numFmtId="43" fontId="0" fillId="0" borderId="10" xfId="42" applyFont="1" applyBorder="1"/>
    <xf numFmtId="0" fontId="0" fillId="35" borderId="0" xfId="0" applyFill="1"/>
    <xf numFmtId="0" fontId="13" fillId="34"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numFmt numFmtId="35" formatCode="_-* #,##0.00_-;\-* #,##0.00_-;_-* &quot;-&quot;??_-;_-@_-"/>
    </dxf>
    <dxf>
      <numFmt numFmtId="165" formatCode="_-* #,##0_-;\-* #,##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font>
        <b val="0"/>
        <i val="0"/>
        <strike val="0"/>
        <condense val="0"/>
        <extend val="0"/>
        <outline val="0"/>
        <shadow val="0"/>
        <u val="none"/>
        <vertAlign val="baseline"/>
        <sz val="11"/>
        <color theme="1"/>
        <name val="Aptos Narrow"/>
        <family val="2"/>
        <scheme val="minor"/>
      </font>
    </dxf>
    <dxf>
      <numFmt numFmtId="1" formatCode="0"/>
    </dxf>
    <dxf>
      <font>
        <b val="0"/>
        <i val="0"/>
        <strike val="0"/>
        <condense val="0"/>
        <extend val="0"/>
        <outline val="0"/>
        <shadow val="0"/>
        <u val="none"/>
        <vertAlign val="baseline"/>
        <sz val="11"/>
        <color theme="1"/>
        <name val="Aptos Narrow"/>
        <family val="2"/>
        <scheme val="minor"/>
      </font>
      <numFmt numFmtId="2" formatCode="0.00"/>
    </dxf>
    <dxf>
      <numFmt numFmtId="164" formatCode="m/d/yyyy;@"/>
    </dxf>
    <dxf>
      <numFmt numFmtId="164" formatCode="m/d/yyyy;@"/>
    </dxf>
    <dxf>
      <numFmt numFmtId="164" formatCode="m/d/yyyy;@"/>
    </dxf>
    <dxf>
      <numFmt numFmtId="164" formatCode="m/d/yyyy;@"/>
    </dxf>
    <dxf>
      <font>
        <b val="0"/>
        <i val="0"/>
        <strike val="0"/>
        <condense val="0"/>
        <extend val="0"/>
        <outline val="0"/>
        <shadow val="0"/>
        <u val="none"/>
        <vertAlign val="baseline"/>
        <sz val="11"/>
        <color theme="0"/>
        <name val="Aptos Narrow"/>
        <family val="2"/>
        <scheme val="minor"/>
      </font>
      <fill>
        <patternFill patternType="solid">
          <fgColor indexed="64"/>
          <bgColor theme="1" tint="0.249977111117893"/>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 - Copy.xlsx]Calculations!PivotTable2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Calculations!$D$4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Calculations!$C$5:$C$17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Calculations!$D$5:$D$17</c:f>
              <c:numCache>
                <c:formatCode>_(* #,##0.00_);_(* \(#,##0.00\);_(* "-"??_);_(@_)</c:formatCode>
                <c:ptCount val="12"/>
                <c:pt idx="0">
                  <c:v>118824.3468344159</c:v>
                </c:pt>
                <c:pt idx="1">
                  <c:v>105601.14298598682</c:v>
                </c:pt>
                <c:pt idx="2">
                  <c:v>121248.87282716241</c:v>
                </c:pt>
                <c:pt idx="3">
                  <c:v>112464.87085533387</c:v>
                </c:pt>
                <c:pt idx="4">
                  <c:v>116050.15789428799</c:v>
                </c:pt>
                <c:pt idx="5">
                  <c:v>109610.91425252421</c:v>
                </c:pt>
                <c:pt idx="6">
                  <c:v>118819.20902262737</c:v>
                </c:pt>
                <c:pt idx="7">
                  <c:v>117373.28455754757</c:v>
                </c:pt>
                <c:pt idx="8">
                  <c:v>118237.9037180492</c:v>
                </c:pt>
                <c:pt idx="9">
                  <c:v>113516.70341548642</c:v>
                </c:pt>
                <c:pt idx="10">
                  <c:v>112236.5124956317</c:v>
                </c:pt>
                <c:pt idx="11">
                  <c:v>110519.25245412793</c:v>
                </c:pt>
              </c:numCache>
            </c:numRef>
          </c:val>
          <c:extLst>
            <c:ext xmlns:c16="http://schemas.microsoft.com/office/drawing/2014/chart" uri="{C3380CC4-5D6E-409C-BE32-E72D297353CC}">
              <c16:uniqueId val="{00000000-CC8C-47A3-97EB-EBFB063777B6}"/>
            </c:ext>
          </c:extLst>
        </c:ser>
        <c:dLbls>
          <c:dLblPos val="outEnd"/>
          <c:showLegendKey val="0"/>
          <c:showVal val="1"/>
          <c:showCatName val="0"/>
          <c:showSerName val="0"/>
          <c:showPercent val="0"/>
          <c:showBubbleSize val="0"/>
        </c:dLbls>
        <c:gapWidth val="182"/>
        <c:axId val="518638288"/>
        <c:axId val="518637568"/>
      </c:barChart>
      <c:catAx>
        <c:axId val="518638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637568"/>
        <c:crosses val="autoZero"/>
        <c:auto val="1"/>
        <c:lblAlgn val="ctr"/>
        <c:lblOffset val="100"/>
        <c:noMultiLvlLbl val="0"/>
      </c:catAx>
      <c:valAx>
        <c:axId val="518637568"/>
        <c:scaling>
          <c:orientation val="minMax"/>
        </c:scaling>
        <c:delete val="0"/>
        <c:axPos val="b"/>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638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 - Copy.xlsx]Calculations!PivotTable4</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400" b="1" i="0" u="none" strike="noStrike" cap="all" baseline="0"/>
              <a:t>Profit Share by Region</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Calculations!$G$12</c:f>
              <c:strCache>
                <c:ptCount val="1"/>
                <c:pt idx="0">
                  <c:v>Total</c:v>
                </c:pt>
              </c:strCache>
            </c:strRef>
          </c:tx>
          <c:dPt>
            <c:idx val="0"/>
            <c:bubble3D val="0"/>
            <c:explosion val="3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877-45B6-98DE-49180CC841E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877-45B6-98DE-49180CC841E6}"/>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877-45B6-98DE-49180CC841E6}"/>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F877-45B6-98DE-49180CC841E6}"/>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E10C-4D43-BB43-BADB3D84B3B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Calculations!$F$13:$F$18</c:f>
              <c:strCache>
                <c:ptCount val="5"/>
                <c:pt idx="0">
                  <c:v>West</c:v>
                </c:pt>
                <c:pt idx="1">
                  <c:v>South</c:v>
                </c:pt>
                <c:pt idx="2">
                  <c:v>North</c:v>
                </c:pt>
                <c:pt idx="3">
                  <c:v>East</c:v>
                </c:pt>
                <c:pt idx="4">
                  <c:v>Unknown</c:v>
                </c:pt>
              </c:strCache>
            </c:strRef>
          </c:cat>
          <c:val>
            <c:numRef>
              <c:f>Calculations!$G$13:$G$18</c:f>
              <c:numCache>
                <c:formatCode>_(* #,##0.00_);_(* \(#,##0.00\);_(* "-"??_);_(@_)</c:formatCode>
                <c:ptCount val="5"/>
                <c:pt idx="0">
                  <c:v>122517.77525049234</c:v>
                </c:pt>
                <c:pt idx="1">
                  <c:v>118036.96992305122</c:v>
                </c:pt>
                <c:pt idx="2">
                  <c:v>112126.47066239515</c:v>
                </c:pt>
                <c:pt idx="3">
                  <c:v>98973.620399875887</c:v>
                </c:pt>
                <c:pt idx="4">
                  <c:v>2215.6009491113159</c:v>
                </c:pt>
              </c:numCache>
            </c:numRef>
          </c:val>
          <c:extLst>
            <c:ext xmlns:c16="http://schemas.microsoft.com/office/drawing/2014/chart" uri="{C3380CC4-5D6E-409C-BE32-E72D297353CC}">
              <c16:uniqueId val="{00000008-F877-45B6-98DE-49180CC841E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[retail_sales - Copy.xlsx]Calculations!PivotTable5</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600" b="1" i="0" u="none" strike="noStrike" cap="all" normalizeH="0" baseline="0"/>
              <a:t>Monthly Profit Trend</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lumMod val="75000"/>
                <a:alpha val="50000"/>
              </a:schemeClr>
            </a:solidFill>
            <a:round/>
          </a:ln>
          <a:effectLst/>
        </c:spPr>
        <c:marker>
          <c:symbol val="circle"/>
          <c:size val="10"/>
          <c:spPr>
            <a:solidFill>
              <a:schemeClr val="accent2"/>
            </a:solidFill>
            <a:ln w="9525">
              <a:solidFill>
                <a:schemeClr val="accent2">
                  <a:lumMod val="75000"/>
                  <a:alpha val="90000"/>
                </a:schemeClr>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180541566648559E-2"/>
          <c:y val="0.31458464576676298"/>
          <c:w val="0.91951380694533025"/>
          <c:h val="0.46309482374448235"/>
        </c:manualLayout>
      </c:layout>
      <c:lineChart>
        <c:grouping val="standard"/>
        <c:varyColors val="0"/>
        <c:ser>
          <c:idx val="0"/>
          <c:order val="0"/>
          <c:tx>
            <c:strRef>
              <c:f>Calculations!$J$4</c:f>
              <c:strCache>
                <c:ptCount val="1"/>
                <c:pt idx="0">
                  <c:v>Total</c:v>
                </c:pt>
              </c:strCache>
            </c:strRef>
          </c:tx>
          <c:spPr>
            <a:ln w="22225" cap="rnd">
              <a:solidFill>
                <a:schemeClr val="accent2">
                  <a:lumMod val="75000"/>
                  <a:alpha val="50000"/>
                </a:schemeClr>
              </a:solidFill>
              <a:round/>
            </a:ln>
            <a:effectLst/>
          </c:spPr>
          <c:marker>
            <c:symbol val="circle"/>
            <c:size val="10"/>
            <c:spPr>
              <a:solidFill>
                <a:schemeClr val="accent2"/>
              </a:solidFill>
              <a:ln w="9525">
                <a:solidFill>
                  <a:schemeClr val="accent2">
                    <a:lumMod val="75000"/>
                    <a:alpha val="90000"/>
                  </a:schemeClr>
                </a:solidFill>
                <a:round/>
              </a:ln>
              <a:effectLst/>
            </c:spPr>
          </c:marker>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Calculations!$I$5:$I$17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Calculations!$J$5:$J$17</c:f>
              <c:numCache>
                <c:formatCode>_(* #,##0.00_);_(* \(#,##0.00\);_(* "-"??_);_(@_)</c:formatCode>
                <c:ptCount val="12"/>
                <c:pt idx="0">
                  <c:v>39711.436220951393</c:v>
                </c:pt>
                <c:pt idx="1">
                  <c:v>34353.123611684641</c:v>
                </c:pt>
                <c:pt idx="2">
                  <c:v>38584.599284871023</c:v>
                </c:pt>
                <c:pt idx="3">
                  <c:v>37895.203186575971</c:v>
                </c:pt>
                <c:pt idx="4">
                  <c:v>40527.689565719447</c:v>
                </c:pt>
                <c:pt idx="5">
                  <c:v>39042.686605089533</c:v>
                </c:pt>
                <c:pt idx="6">
                  <c:v>40208.956108599719</c:v>
                </c:pt>
                <c:pt idx="7">
                  <c:v>34675.627874666083</c:v>
                </c:pt>
                <c:pt idx="8">
                  <c:v>37796.761379125244</c:v>
                </c:pt>
                <c:pt idx="9">
                  <c:v>36019.384158294946</c:v>
                </c:pt>
                <c:pt idx="10">
                  <c:v>36344.048331998485</c:v>
                </c:pt>
                <c:pt idx="11">
                  <c:v>38710.920857349302</c:v>
                </c:pt>
              </c:numCache>
            </c:numRef>
          </c:val>
          <c:smooth val="1"/>
          <c:extLst>
            <c:ext xmlns:c16="http://schemas.microsoft.com/office/drawing/2014/chart" uri="{C3380CC4-5D6E-409C-BE32-E72D297353CC}">
              <c16:uniqueId val="{00000000-6089-4A39-8770-FABD2FF240B9}"/>
            </c:ext>
          </c:extLst>
        </c:ser>
        <c:dLbls>
          <c:dLblPos val="t"/>
          <c:showLegendKey val="0"/>
          <c:showVal val="1"/>
          <c:showCatName val="0"/>
          <c:showSerName val="0"/>
          <c:showPercent val="0"/>
          <c:showBubbleSize val="0"/>
        </c:dLbls>
        <c:marker val="1"/>
        <c:smooth val="0"/>
        <c:axId val="806448968"/>
        <c:axId val="806448608"/>
      </c:lineChart>
      <c:catAx>
        <c:axId val="806448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06448608"/>
        <c:crosses val="autoZero"/>
        <c:auto val="1"/>
        <c:lblAlgn val="ctr"/>
        <c:lblOffset val="100"/>
        <c:noMultiLvlLbl val="0"/>
      </c:catAx>
      <c:valAx>
        <c:axId val="806448608"/>
        <c:scaling>
          <c:orientation val="minMax"/>
        </c:scaling>
        <c:delete val="1"/>
        <c:axPos val="l"/>
        <c:numFmt formatCode="_(* #,##0.00_);_(* \(#,##0.00\);_(* &quot;-&quot;??_);_(@_)" sourceLinked="1"/>
        <c:majorTickMark val="none"/>
        <c:minorTickMark val="none"/>
        <c:tickLblPos val="nextTo"/>
        <c:crossAx val="806448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 - Copy.xlsx]Calculations!PivotTable7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Profit by Category, Monthly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Calculations!$AA$4:$AA$5</c:f>
              <c:strCache>
                <c:ptCount val="1"/>
                <c:pt idx="0">
                  <c:v>Books</c:v>
                </c:pt>
              </c:strCache>
            </c:strRef>
          </c:tx>
          <c:spPr>
            <a:solidFill>
              <a:schemeClr val="accent1"/>
            </a:solidFill>
            <a:ln>
              <a:noFill/>
            </a:ln>
            <a:effectLst/>
          </c:spPr>
          <c:invertIfNegative val="0"/>
          <c:cat>
            <c:strRef>
              <c:f>Calculations!$Z$6:$Z$18</c:f>
              <c:strCache>
                <c:ptCount val="12"/>
                <c:pt idx="0">
                  <c:v>May</c:v>
                </c:pt>
                <c:pt idx="1">
                  <c:v>July</c:v>
                </c:pt>
                <c:pt idx="2">
                  <c:v>January</c:v>
                </c:pt>
                <c:pt idx="3">
                  <c:v>June</c:v>
                </c:pt>
                <c:pt idx="4">
                  <c:v>December</c:v>
                </c:pt>
                <c:pt idx="5">
                  <c:v>March</c:v>
                </c:pt>
                <c:pt idx="6">
                  <c:v>April</c:v>
                </c:pt>
                <c:pt idx="7">
                  <c:v>September</c:v>
                </c:pt>
                <c:pt idx="8">
                  <c:v>November</c:v>
                </c:pt>
                <c:pt idx="9">
                  <c:v>October</c:v>
                </c:pt>
                <c:pt idx="10">
                  <c:v>August</c:v>
                </c:pt>
                <c:pt idx="11">
                  <c:v>February</c:v>
                </c:pt>
              </c:strCache>
            </c:strRef>
          </c:cat>
          <c:val>
            <c:numRef>
              <c:f>Calculations!$AA$6:$AA$18</c:f>
              <c:numCache>
                <c:formatCode>_(* #,##0.00_);_(* \(#,##0.00\);_(* "-"??_);_(@_)</c:formatCode>
                <c:ptCount val="12"/>
                <c:pt idx="0">
                  <c:v>7826.1918635760176</c:v>
                </c:pt>
                <c:pt idx="1">
                  <c:v>8214.9876098073946</c:v>
                </c:pt>
                <c:pt idx="2">
                  <c:v>8038.2089068377427</c:v>
                </c:pt>
                <c:pt idx="3">
                  <c:v>8987.8419856246619</c:v>
                </c:pt>
                <c:pt idx="4">
                  <c:v>8086.3911112615961</c:v>
                </c:pt>
                <c:pt idx="5">
                  <c:v>7860.6497165335913</c:v>
                </c:pt>
                <c:pt idx="6">
                  <c:v>7525.8995831404391</c:v>
                </c:pt>
                <c:pt idx="7">
                  <c:v>7422.3071777720606</c:v>
                </c:pt>
                <c:pt idx="8">
                  <c:v>7244.8914100684169</c:v>
                </c:pt>
                <c:pt idx="9">
                  <c:v>7247.1623511537391</c:v>
                </c:pt>
                <c:pt idx="10">
                  <c:v>6853.959485585563</c:v>
                </c:pt>
                <c:pt idx="11">
                  <c:v>7084.5522950991326</c:v>
                </c:pt>
              </c:numCache>
            </c:numRef>
          </c:val>
          <c:extLst>
            <c:ext xmlns:c16="http://schemas.microsoft.com/office/drawing/2014/chart" uri="{C3380CC4-5D6E-409C-BE32-E72D297353CC}">
              <c16:uniqueId val="{00000000-BEC7-48F6-ACBD-E898298639D2}"/>
            </c:ext>
          </c:extLst>
        </c:ser>
        <c:ser>
          <c:idx val="1"/>
          <c:order val="1"/>
          <c:tx>
            <c:strRef>
              <c:f>Calculations!$AB$4:$AB$5</c:f>
              <c:strCache>
                <c:ptCount val="1"/>
                <c:pt idx="0">
                  <c:v>Clothing</c:v>
                </c:pt>
              </c:strCache>
            </c:strRef>
          </c:tx>
          <c:spPr>
            <a:solidFill>
              <a:schemeClr val="accent2"/>
            </a:solidFill>
            <a:ln>
              <a:noFill/>
            </a:ln>
            <a:effectLst/>
          </c:spPr>
          <c:invertIfNegative val="0"/>
          <c:cat>
            <c:strRef>
              <c:f>Calculations!$Z$6:$Z$18</c:f>
              <c:strCache>
                <c:ptCount val="12"/>
                <c:pt idx="0">
                  <c:v>May</c:v>
                </c:pt>
                <c:pt idx="1">
                  <c:v>July</c:v>
                </c:pt>
                <c:pt idx="2">
                  <c:v>January</c:v>
                </c:pt>
                <c:pt idx="3">
                  <c:v>June</c:v>
                </c:pt>
                <c:pt idx="4">
                  <c:v>December</c:v>
                </c:pt>
                <c:pt idx="5">
                  <c:v>March</c:v>
                </c:pt>
                <c:pt idx="6">
                  <c:v>April</c:v>
                </c:pt>
                <c:pt idx="7">
                  <c:v>September</c:v>
                </c:pt>
                <c:pt idx="8">
                  <c:v>November</c:v>
                </c:pt>
                <c:pt idx="9">
                  <c:v>October</c:v>
                </c:pt>
                <c:pt idx="10">
                  <c:v>August</c:v>
                </c:pt>
                <c:pt idx="11">
                  <c:v>February</c:v>
                </c:pt>
              </c:strCache>
            </c:strRef>
          </c:cat>
          <c:val>
            <c:numRef>
              <c:f>Calculations!$AB$6:$AB$18</c:f>
              <c:numCache>
                <c:formatCode>_(* #,##0.00_);_(* \(#,##0.00\);_(* "-"??_);_(@_)</c:formatCode>
                <c:ptCount val="12"/>
                <c:pt idx="0">
                  <c:v>7389.6984712009962</c:v>
                </c:pt>
                <c:pt idx="1">
                  <c:v>7361.9615292215731</c:v>
                </c:pt>
                <c:pt idx="2">
                  <c:v>8418.5536882453453</c:v>
                </c:pt>
                <c:pt idx="3">
                  <c:v>8396.7673775040967</c:v>
                </c:pt>
                <c:pt idx="4">
                  <c:v>8361.2577964672819</c:v>
                </c:pt>
                <c:pt idx="5">
                  <c:v>7878.1933507126796</c:v>
                </c:pt>
                <c:pt idx="6">
                  <c:v>8231.862514342245</c:v>
                </c:pt>
                <c:pt idx="7">
                  <c:v>7786.9521305644557</c:v>
                </c:pt>
                <c:pt idx="8">
                  <c:v>7323.9805561804742</c:v>
                </c:pt>
                <c:pt idx="9">
                  <c:v>6208.6159354061856</c:v>
                </c:pt>
                <c:pt idx="10">
                  <c:v>7006.2026986291021</c:v>
                </c:pt>
                <c:pt idx="11">
                  <c:v>5718.0738714924692</c:v>
                </c:pt>
              </c:numCache>
            </c:numRef>
          </c:val>
          <c:extLst>
            <c:ext xmlns:c16="http://schemas.microsoft.com/office/drawing/2014/chart" uri="{C3380CC4-5D6E-409C-BE32-E72D297353CC}">
              <c16:uniqueId val="{00000001-A818-4869-9DC0-A6BC90070C06}"/>
            </c:ext>
          </c:extLst>
        </c:ser>
        <c:ser>
          <c:idx val="2"/>
          <c:order val="2"/>
          <c:tx>
            <c:strRef>
              <c:f>Calculations!$AC$4:$AC$5</c:f>
              <c:strCache>
                <c:ptCount val="1"/>
                <c:pt idx="0">
                  <c:v>Electronics</c:v>
                </c:pt>
              </c:strCache>
            </c:strRef>
          </c:tx>
          <c:spPr>
            <a:solidFill>
              <a:schemeClr val="accent3"/>
            </a:solidFill>
            <a:ln>
              <a:noFill/>
            </a:ln>
            <a:effectLst/>
          </c:spPr>
          <c:invertIfNegative val="0"/>
          <c:cat>
            <c:strRef>
              <c:f>Calculations!$Z$6:$Z$18</c:f>
              <c:strCache>
                <c:ptCount val="12"/>
                <c:pt idx="0">
                  <c:v>May</c:v>
                </c:pt>
                <c:pt idx="1">
                  <c:v>July</c:v>
                </c:pt>
                <c:pt idx="2">
                  <c:v>January</c:v>
                </c:pt>
                <c:pt idx="3">
                  <c:v>June</c:v>
                </c:pt>
                <c:pt idx="4">
                  <c:v>December</c:v>
                </c:pt>
                <c:pt idx="5">
                  <c:v>March</c:v>
                </c:pt>
                <c:pt idx="6">
                  <c:v>April</c:v>
                </c:pt>
                <c:pt idx="7">
                  <c:v>September</c:v>
                </c:pt>
                <c:pt idx="8">
                  <c:v>November</c:v>
                </c:pt>
                <c:pt idx="9">
                  <c:v>October</c:v>
                </c:pt>
                <c:pt idx="10">
                  <c:v>August</c:v>
                </c:pt>
                <c:pt idx="11">
                  <c:v>February</c:v>
                </c:pt>
              </c:strCache>
            </c:strRef>
          </c:cat>
          <c:val>
            <c:numRef>
              <c:f>Calculations!$AC$6:$AC$18</c:f>
              <c:numCache>
                <c:formatCode>_(* #,##0.00_);_(* \(#,##0.00\);_(* "-"??_);_(@_)</c:formatCode>
                <c:ptCount val="12"/>
                <c:pt idx="0">
                  <c:v>8587.6139059586621</c:v>
                </c:pt>
                <c:pt idx="1">
                  <c:v>9324.6065477500142</c:v>
                </c:pt>
                <c:pt idx="2">
                  <c:v>7323.734669577203</c:v>
                </c:pt>
                <c:pt idx="3">
                  <c:v>7676.7500913311715</c:v>
                </c:pt>
                <c:pt idx="4">
                  <c:v>8284.6870096346247</c:v>
                </c:pt>
                <c:pt idx="5">
                  <c:v>7087.4158952700518</c:v>
                </c:pt>
                <c:pt idx="6">
                  <c:v>7481.8596237364218</c:v>
                </c:pt>
                <c:pt idx="7">
                  <c:v>6860.0327465233195</c:v>
                </c:pt>
                <c:pt idx="8">
                  <c:v>7042.9797404114688</c:v>
                </c:pt>
                <c:pt idx="9">
                  <c:v>6990.3661727655326</c:v>
                </c:pt>
                <c:pt idx="10">
                  <c:v>7439.7879894606567</c:v>
                </c:pt>
                <c:pt idx="11">
                  <c:v>7163.434848269736</c:v>
                </c:pt>
              </c:numCache>
            </c:numRef>
          </c:val>
          <c:extLst>
            <c:ext xmlns:c16="http://schemas.microsoft.com/office/drawing/2014/chart" uri="{C3380CC4-5D6E-409C-BE32-E72D297353CC}">
              <c16:uniqueId val="{00000002-A818-4869-9DC0-A6BC90070C06}"/>
            </c:ext>
          </c:extLst>
        </c:ser>
        <c:ser>
          <c:idx val="3"/>
          <c:order val="3"/>
          <c:tx>
            <c:strRef>
              <c:f>Calculations!$AD$4:$AD$5</c:f>
              <c:strCache>
                <c:ptCount val="1"/>
                <c:pt idx="0">
                  <c:v>Home Goods</c:v>
                </c:pt>
              </c:strCache>
            </c:strRef>
          </c:tx>
          <c:spPr>
            <a:solidFill>
              <a:schemeClr val="accent4"/>
            </a:solidFill>
            <a:ln>
              <a:noFill/>
            </a:ln>
            <a:effectLst/>
          </c:spPr>
          <c:invertIfNegative val="0"/>
          <c:cat>
            <c:strRef>
              <c:f>Calculations!$Z$6:$Z$18</c:f>
              <c:strCache>
                <c:ptCount val="12"/>
                <c:pt idx="0">
                  <c:v>May</c:v>
                </c:pt>
                <c:pt idx="1">
                  <c:v>July</c:v>
                </c:pt>
                <c:pt idx="2">
                  <c:v>January</c:v>
                </c:pt>
                <c:pt idx="3">
                  <c:v>June</c:v>
                </c:pt>
                <c:pt idx="4">
                  <c:v>December</c:v>
                </c:pt>
                <c:pt idx="5">
                  <c:v>March</c:v>
                </c:pt>
                <c:pt idx="6">
                  <c:v>April</c:v>
                </c:pt>
                <c:pt idx="7">
                  <c:v>September</c:v>
                </c:pt>
                <c:pt idx="8">
                  <c:v>November</c:v>
                </c:pt>
                <c:pt idx="9">
                  <c:v>October</c:v>
                </c:pt>
                <c:pt idx="10">
                  <c:v>August</c:v>
                </c:pt>
                <c:pt idx="11">
                  <c:v>February</c:v>
                </c:pt>
              </c:strCache>
            </c:strRef>
          </c:cat>
          <c:val>
            <c:numRef>
              <c:f>Calculations!$AD$6:$AD$18</c:f>
              <c:numCache>
                <c:formatCode>_(* #,##0.00_);_(* \(#,##0.00\);_(* "-"??_);_(@_)</c:formatCode>
                <c:ptCount val="12"/>
                <c:pt idx="0">
                  <c:v>8063.9748481408087</c:v>
                </c:pt>
                <c:pt idx="1">
                  <c:v>7755.0782193985769</c:v>
                </c:pt>
                <c:pt idx="2">
                  <c:v>7647.4766696296947</c:v>
                </c:pt>
                <c:pt idx="3">
                  <c:v>7085.5767975211011</c:v>
                </c:pt>
                <c:pt idx="4">
                  <c:v>7130.8046654402697</c:v>
                </c:pt>
                <c:pt idx="5">
                  <c:v>7877.3870253166906</c:v>
                </c:pt>
                <c:pt idx="6">
                  <c:v>6540.4705039616711</c:v>
                </c:pt>
                <c:pt idx="7">
                  <c:v>7582.4099218439305</c:v>
                </c:pt>
                <c:pt idx="8">
                  <c:v>7499.9830478184404</c:v>
                </c:pt>
                <c:pt idx="9">
                  <c:v>7969.854300583037</c:v>
                </c:pt>
                <c:pt idx="10">
                  <c:v>6195.8108100403215</c:v>
                </c:pt>
                <c:pt idx="11">
                  <c:v>6480.7778249482426</c:v>
                </c:pt>
              </c:numCache>
            </c:numRef>
          </c:val>
          <c:extLst>
            <c:ext xmlns:c16="http://schemas.microsoft.com/office/drawing/2014/chart" uri="{C3380CC4-5D6E-409C-BE32-E72D297353CC}">
              <c16:uniqueId val="{00000003-A818-4869-9DC0-A6BC90070C06}"/>
            </c:ext>
          </c:extLst>
        </c:ser>
        <c:ser>
          <c:idx val="4"/>
          <c:order val="4"/>
          <c:tx>
            <c:strRef>
              <c:f>Calculations!$AE$4:$AE$5</c:f>
              <c:strCache>
                <c:ptCount val="1"/>
                <c:pt idx="0">
                  <c:v>Sports</c:v>
                </c:pt>
              </c:strCache>
            </c:strRef>
          </c:tx>
          <c:spPr>
            <a:solidFill>
              <a:schemeClr val="accent5"/>
            </a:solidFill>
            <a:ln>
              <a:noFill/>
            </a:ln>
            <a:effectLst/>
          </c:spPr>
          <c:invertIfNegative val="0"/>
          <c:cat>
            <c:strRef>
              <c:f>Calculations!$Z$6:$Z$18</c:f>
              <c:strCache>
                <c:ptCount val="12"/>
                <c:pt idx="0">
                  <c:v>May</c:v>
                </c:pt>
                <c:pt idx="1">
                  <c:v>July</c:v>
                </c:pt>
                <c:pt idx="2">
                  <c:v>January</c:v>
                </c:pt>
                <c:pt idx="3">
                  <c:v>June</c:v>
                </c:pt>
                <c:pt idx="4">
                  <c:v>December</c:v>
                </c:pt>
                <c:pt idx="5">
                  <c:v>March</c:v>
                </c:pt>
                <c:pt idx="6">
                  <c:v>April</c:v>
                </c:pt>
                <c:pt idx="7">
                  <c:v>September</c:v>
                </c:pt>
                <c:pt idx="8">
                  <c:v>November</c:v>
                </c:pt>
                <c:pt idx="9">
                  <c:v>October</c:v>
                </c:pt>
                <c:pt idx="10">
                  <c:v>August</c:v>
                </c:pt>
                <c:pt idx="11">
                  <c:v>February</c:v>
                </c:pt>
              </c:strCache>
            </c:strRef>
          </c:cat>
          <c:val>
            <c:numRef>
              <c:f>Calculations!$AE$6:$AE$18</c:f>
              <c:numCache>
                <c:formatCode>_(* #,##0.00_);_(* \(#,##0.00\);_(* "-"??_);_(@_)</c:formatCode>
                <c:ptCount val="12"/>
                <c:pt idx="0">
                  <c:v>8660.2104768429635</c:v>
                </c:pt>
                <c:pt idx="1">
                  <c:v>7552.3222024221504</c:v>
                </c:pt>
                <c:pt idx="2">
                  <c:v>8283.4622866614245</c:v>
                </c:pt>
                <c:pt idx="3">
                  <c:v>6895.7503531085058</c:v>
                </c:pt>
                <c:pt idx="4">
                  <c:v>6847.7802745455429</c:v>
                </c:pt>
                <c:pt idx="5">
                  <c:v>7880.9532970379814</c:v>
                </c:pt>
                <c:pt idx="6">
                  <c:v>8115.1109613951994</c:v>
                </c:pt>
                <c:pt idx="7">
                  <c:v>8145.0594024214988</c:v>
                </c:pt>
                <c:pt idx="8">
                  <c:v>7232.2135775197139</c:v>
                </c:pt>
                <c:pt idx="9">
                  <c:v>7603.3853983864583</c:v>
                </c:pt>
                <c:pt idx="10">
                  <c:v>7179.8668909504304</c:v>
                </c:pt>
                <c:pt idx="11">
                  <c:v>7906.2847718750718</c:v>
                </c:pt>
              </c:numCache>
            </c:numRef>
          </c:val>
          <c:extLst>
            <c:ext xmlns:c16="http://schemas.microsoft.com/office/drawing/2014/chart" uri="{C3380CC4-5D6E-409C-BE32-E72D297353CC}">
              <c16:uniqueId val="{00000004-A818-4869-9DC0-A6BC90070C06}"/>
            </c:ext>
          </c:extLst>
        </c:ser>
        <c:dLbls>
          <c:showLegendKey val="0"/>
          <c:showVal val="0"/>
          <c:showCatName val="0"/>
          <c:showSerName val="0"/>
          <c:showPercent val="0"/>
          <c:showBubbleSize val="0"/>
        </c:dLbls>
        <c:gapWidth val="219"/>
        <c:overlap val="-27"/>
        <c:axId val="1058940976"/>
        <c:axId val="1058943496"/>
      </c:barChart>
      <c:catAx>
        <c:axId val="1058940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943496"/>
        <c:crosses val="autoZero"/>
        <c:auto val="1"/>
        <c:lblAlgn val="ctr"/>
        <c:lblOffset val="100"/>
        <c:noMultiLvlLbl val="0"/>
      </c:catAx>
      <c:valAx>
        <c:axId val="1058943496"/>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940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jpeg"/><Relationship Id="rId3" Type="http://schemas.openxmlformats.org/officeDocument/2006/relationships/chart" Target="../charts/chart3.xml"/><Relationship Id="rId7" Type="http://schemas.openxmlformats.org/officeDocument/2006/relationships/image" Target="../media/image3.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jpeg"/><Relationship Id="rId5" Type="http://schemas.openxmlformats.org/officeDocument/2006/relationships/image" Target="../media/image1.jpe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320507</xdr:colOff>
      <xdr:row>0</xdr:row>
      <xdr:rowOff>123079</xdr:rowOff>
    </xdr:from>
    <xdr:to>
      <xdr:col>9</xdr:col>
      <xdr:colOff>111462</xdr:colOff>
      <xdr:row>4</xdr:row>
      <xdr:rowOff>10133</xdr:rowOff>
    </xdr:to>
    <xdr:sp macro="" textlink="">
      <xdr:nvSpPr>
        <xdr:cNvPr id="2" name="TextBox 1">
          <a:extLst>
            <a:ext uri="{FF2B5EF4-FFF2-40B4-BE49-F238E27FC236}">
              <a16:creationId xmlns:a16="http://schemas.microsoft.com/office/drawing/2014/main" id="{265F1259-33D2-2E6B-87B2-16A90AE3E2BF}"/>
            </a:ext>
          </a:extLst>
        </xdr:cNvPr>
        <xdr:cNvSpPr txBox="1"/>
      </xdr:nvSpPr>
      <xdr:spPr>
        <a:xfrm>
          <a:off x="320507" y="123079"/>
          <a:ext cx="5262764" cy="657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a:t>Retail</a:t>
          </a:r>
          <a:r>
            <a:rPr lang="en-US" sz="4000" baseline="0"/>
            <a:t> Sales Dashboard</a:t>
          </a:r>
        </a:p>
      </xdr:txBody>
    </xdr:sp>
    <xdr:clientData/>
  </xdr:twoCellAnchor>
  <xdr:twoCellAnchor>
    <xdr:from>
      <xdr:col>0</xdr:col>
      <xdr:colOff>302833</xdr:colOff>
      <xdr:row>5</xdr:row>
      <xdr:rowOff>20267</xdr:rowOff>
    </xdr:from>
    <xdr:to>
      <xdr:col>9</xdr:col>
      <xdr:colOff>87730</xdr:colOff>
      <xdr:row>34</xdr:row>
      <xdr:rowOff>62802</xdr:rowOff>
    </xdr:to>
    <xdr:graphicFrame macro="">
      <xdr:nvGraphicFramePr>
        <xdr:cNvPr id="3" name="Chart 2">
          <a:extLst>
            <a:ext uri="{FF2B5EF4-FFF2-40B4-BE49-F238E27FC236}">
              <a16:creationId xmlns:a16="http://schemas.microsoft.com/office/drawing/2014/main" id="{3EDAB13F-86B5-458C-9111-4ADFEA3C32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500273</xdr:colOff>
      <xdr:row>19</xdr:row>
      <xdr:rowOff>115455</xdr:rowOff>
    </xdr:from>
    <xdr:to>
      <xdr:col>25</xdr:col>
      <xdr:colOff>122903</xdr:colOff>
      <xdr:row>34</xdr:row>
      <xdr:rowOff>62665</xdr:rowOff>
    </xdr:to>
    <xdr:graphicFrame macro="">
      <xdr:nvGraphicFramePr>
        <xdr:cNvPr id="5" name="Chart 4">
          <a:extLst>
            <a:ext uri="{FF2B5EF4-FFF2-40B4-BE49-F238E27FC236}">
              <a16:creationId xmlns:a16="http://schemas.microsoft.com/office/drawing/2014/main" id="{CDE2E48B-ACE1-4B45-B6D4-8C6BF65342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200525</xdr:colOff>
      <xdr:row>19</xdr:row>
      <xdr:rowOff>125330</xdr:rowOff>
    </xdr:from>
    <xdr:to>
      <xdr:col>17</xdr:col>
      <xdr:colOff>467591</xdr:colOff>
      <xdr:row>34</xdr:row>
      <xdr:rowOff>77932</xdr:rowOff>
    </xdr:to>
    <xdr:graphicFrame macro="">
      <xdr:nvGraphicFramePr>
        <xdr:cNvPr id="6" name="Chart 5">
          <a:extLst>
            <a:ext uri="{FF2B5EF4-FFF2-40B4-BE49-F238E27FC236}">
              <a16:creationId xmlns:a16="http://schemas.microsoft.com/office/drawing/2014/main" id="{4720B418-473E-4FFE-AED5-AC3F06A952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261192</xdr:colOff>
      <xdr:row>0</xdr:row>
      <xdr:rowOff>98578</xdr:rowOff>
    </xdr:from>
    <xdr:to>
      <xdr:col>19</xdr:col>
      <xdr:colOff>9210</xdr:colOff>
      <xdr:row>7</xdr:row>
      <xdr:rowOff>119158</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7BEF003D-004E-4000-B857-DAE8312FB3C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821933" y="98578"/>
              <a:ext cx="2805425" cy="13376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320081</xdr:colOff>
      <xdr:row>0</xdr:row>
      <xdr:rowOff>98936</xdr:rowOff>
    </xdr:from>
    <xdr:to>
      <xdr:col>25</xdr:col>
      <xdr:colOff>196825</xdr:colOff>
      <xdr:row>7</xdr:row>
      <xdr:rowOff>119516</xdr:rowOff>
    </xdr:to>
    <mc:AlternateContent xmlns:mc="http://schemas.openxmlformats.org/markup-compatibility/2006">
      <mc:Choice xmlns:a14="http://schemas.microsoft.com/office/drawing/2010/main" Requires="a14">
        <xdr:graphicFrame macro="">
          <xdr:nvGraphicFramePr>
            <xdr:cNvPr id="8" name="Month">
              <a:extLst>
                <a:ext uri="{FF2B5EF4-FFF2-40B4-BE49-F238E27FC236}">
                  <a16:creationId xmlns:a16="http://schemas.microsoft.com/office/drawing/2014/main" id="{037A06F5-F776-420A-B275-289FDE4E2C5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1938229" y="98936"/>
              <a:ext cx="3545633" cy="13376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347544</xdr:colOff>
      <xdr:row>0</xdr:row>
      <xdr:rowOff>119243</xdr:rowOff>
    </xdr:from>
    <xdr:to>
      <xdr:col>13</xdr:col>
      <xdr:colOff>545032</xdr:colOff>
      <xdr:row>7</xdr:row>
      <xdr:rowOff>136530</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EAC18B95-9789-47EF-A00E-AF2FC8A8353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850877" y="119243"/>
              <a:ext cx="2643414" cy="13343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308082</xdr:colOff>
      <xdr:row>35</xdr:row>
      <xdr:rowOff>16993</xdr:rowOff>
    </xdr:from>
    <xdr:to>
      <xdr:col>17</xdr:col>
      <xdr:colOff>476250</xdr:colOff>
      <xdr:row>51</xdr:row>
      <xdr:rowOff>48224</xdr:rowOff>
    </xdr:to>
    <xdr:graphicFrame macro="">
      <xdr:nvGraphicFramePr>
        <xdr:cNvPr id="31" name="Chart 30">
          <a:extLst>
            <a:ext uri="{FF2B5EF4-FFF2-40B4-BE49-F238E27FC236}">
              <a16:creationId xmlns:a16="http://schemas.microsoft.com/office/drawing/2014/main" id="{AAF23189-6C4B-4418-950E-DF922E1575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562840</xdr:colOff>
      <xdr:row>35</xdr:row>
      <xdr:rowOff>2</xdr:rowOff>
    </xdr:from>
    <xdr:to>
      <xdr:col>25</xdr:col>
      <xdr:colOff>153628</xdr:colOff>
      <xdr:row>51</xdr:row>
      <xdr:rowOff>173181</xdr:rowOff>
    </xdr:to>
    <xdr:sp macro="" textlink="">
      <xdr:nvSpPr>
        <xdr:cNvPr id="38" name="Rectangle: Top Corners Rounded 37">
          <a:extLst>
            <a:ext uri="{FF2B5EF4-FFF2-40B4-BE49-F238E27FC236}">
              <a16:creationId xmlns:a16="http://schemas.microsoft.com/office/drawing/2014/main" id="{D5758409-FE57-6724-EC44-B11954165AF1}"/>
            </a:ext>
          </a:extLst>
        </xdr:cNvPr>
        <xdr:cNvSpPr/>
      </xdr:nvSpPr>
      <xdr:spPr>
        <a:xfrm>
          <a:off x="11009614" y="6452421"/>
          <a:ext cx="4506917" cy="3122857"/>
        </a:xfrm>
        <a:prstGeom prst="round2SameRect">
          <a:avLst>
            <a:gd name="adj1" fmla="val 8000"/>
            <a:gd name="adj2" fmla="val 0"/>
          </a:avLst>
        </a:pr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sp>
    <xdr:clientData/>
  </xdr:twoCellAnchor>
  <xdr:twoCellAnchor>
    <xdr:from>
      <xdr:col>18</xdr:col>
      <xdr:colOff>101022</xdr:colOff>
      <xdr:row>35</xdr:row>
      <xdr:rowOff>86591</xdr:rowOff>
    </xdr:from>
    <xdr:to>
      <xdr:col>25</xdr:col>
      <xdr:colOff>138266</xdr:colOff>
      <xdr:row>51</xdr:row>
      <xdr:rowOff>115455</xdr:rowOff>
    </xdr:to>
    <xdr:sp macro="" textlink="">
      <xdr:nvSpPr>
        <xdr:cNvPr id="49" name="TextBox 48">
          <a:extLst>
            <a:ext uri="{FF2B5EF4-FFF2-40B4-BE49-F238E27FC236}">
              <a16:creationId xmlns:a16="http://schemas.microsoft.com/office/drawing/2014/main" id="{36DE905B-0D52-4077-A1BB-4CCBA6BE203D}"/>
            </a:ext>
          </a:extLst>
        </xdr:cNvPr>
        <xdr:cNvSpPr txBox="1"/>
      </xdr:nvSpPr>
      <xdr:spPr>
        <a:xfrm>
          <a:off x="11162312" y="6539010"/>
          <a:ext cx="4338857" cy="2978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t>1. </a:t>
          </a:r>
          <a:r>
            <a:rPr lang="en-US" sz="1100" b="0">
              <a:latin typeface="Aptos" panose="020B0004020202020204" pitchFamily="34" charset="0"/>
            </a:rPr>
            <a:t>Total sales across the year reached R1,374,503.17 from 1,825 transactions, moving 18,348 units .</a:t>
          </a:r>
        </a:p>
        <a:p>
          <a:endParaRPr lang="en-US" sz="1100" b="0"/>
        </a:p>
        <a:p>
          <a:r>
            <a:rPr lang="en-US" sz="1100" b="0"/>
            <a:t>2. March was the strongest month for profit (R121,248.87), followed closely by July and January,</a:t>
          </a:r>
          <a:r>
            <a:rPr lang="en-US" sz="1100" b="0" baseline="0"/>
            <a:t> </a:t>
          </a:r>
          <a:r>
            <a:rPr lang="en-US" sz="1100" b="0"/>
            <a:t>while February came in lowest (R95,000 range), suggesting a seasonal dip early in the year that recovers into spring.</a:t>
          </a:r>
        </a:p>
        <a:p>
          <a:endParaRPr lang="en-US" sz="1100" b="0"/>
        </a:p>
        <a:p>
          <a:r>
            <a:rPr lang="en-US" sz="1100" b="0"/>
            <a:t>3.</a:t>
          </a:r>
          <a:r>
            <a:rPr lang="en-US" sz="1100" b="0" baseline="0"/>
            <a:t> </a:t>
          </a:r>
          <a:r>
            <a:rPr lang="en-US" sz="1100" b="0"/>
            <a:t>Region performance is fairly balanced but not even: West leads at 27% of total profit, followed by North (26%) and South (25%), with East trailing at 22%</a:t>
          </a:r>
        </a:p>
        <a:p>
          <a:endParaRPr lang="en-US" sz="1100" b="0"/>
        </a:p>
        <a:p>
          <a:r>
            <a:rPr lang="en-US" sz="1100" b="0"/>
            <a:t>4. Category performance across Books, Clothing, Electronics, Home Goods, and Sports is relatively close, with no single category dominating overall profit — indicating a well-diversified product mix rather than reliance on one category.</a:t>
          </a:r>
        </a:p>
      </xdr:txBody>
    </xdr:sp>
    <xdr:clientData/>
  </xdr:twoCellAnchor>
  <xdr:twoCellAnchor>
    <xdr:from>
      <xdr:col>10</xdr:col>
      <xdr:colOff>196447</xdr:colOff>
      <xdr:row>9</xdr:row>
      <xdr:rowOff>34812</xdr:rowOff>
    </xdr:from>
    <xdr:to>
      <xdr:col>13</xdr:col>
      <xdr:colOff>292201</xdr:colOff>
      <xdr:row>18</xdr:row>
      <xdr:rowOff>3270</xdr:rowOff>
    </xdr:to>
    <xdr:grpSp>
      <xdr:nvGrpSpPr>
        <xdr:cNvPr id="33" name="Group 32">
          <a:extLst>
            <a:ext uri="{FF2B5EF4-FFF2-40B4-BE49-F238E27FC236}">
              <a16:creationId xmlns:a16="http://schemas.microsoft.com/office/drawing/2014/main" id="{79DB0545-4B6F-F008-1C67-C5267D15D3CA}"/>
            </a:ext>
          </a:extLst>
        </xdr:cNvPr>
        <xdr:cNvGrpSpPr/>
      </xdr:nvGrpSpPr>
      <xdr:grpSpPr>
        <a:xfrm>
          <a:off x="6311262" y="1728145"/>
          <a:ext cx="1930198" cy="1661792"/>
          <a:chOff x="5834633" y="1678643"/>
          <a:chExt cx="1939303" cy="1627651"/>
        </a:xfrm>
      </xdr:grpSpPr>
      <xdr:sp macro="" textlink="">
        <xdr:nvSpPr>
          <xdr:cNvPr id="12" name="Freeform: Shape 11">
            <a:extLst>
              <a:ext uri="{FF2B5EF4-FFF2-40B4-BE49-F238E27FC236}">
                <a16:creationId xmlns:a16="http://schemas.microsoft.com/office/drawing/2014/main" id="{DB620D44-D77D-A487-4C61-ED03BD571CA7}"/>
              </a:ext>
            </a:extLst>
          </xdr:cNvPr>
          <xdr:cNvSpPr/>
        </xdr:nvSpPr>
        <xdr:spPr>
          <a:xfrm>
            <a:off x="5834633" y="1678643"/>
            <a:ext cx="1689090" cy="1627650"/>
          </a:xfrm>
          <a:custGeom>
            <a:avLst/>
            <a:gdLst>
              <a:gd name="csX0" fmla="*/ 0 w 1428749"/>
              <a:gd name="csY0" fmla="*/ 142875 h 2000249"/>
              <a:gd name="csX1" fmla="*/ 142875 w 1428749"/>
              <a:gd name="csY1" fmla="*/ 0 h 2000249"/>
              <a:gd name="csX2" fmla="*/ 1285874 w 1428749"/>
              <a:gd name="csY2" fmla="*/ 0 h 2000249"/>
              <a:gd name="csX3" fmla="*/ 1428749 w 1428749"/>
              <a:gd name="csY3" fmla="*/ 142875 h 2000249"/>
              <a:gd name="csX4" fmla="*/ 1428749 w 1428749"/>
              <a:gd name="csY4" fmla="*/ 1857374 h 2000249"/>
              <a:gd name="csX5" fmla="*/ 1285874 w 1428749"/>
              <a:gd name="csY5" fmla="*/ 2000249 h 2000249"/>
              <a:gd name="csX6" fmla="*/ 142875 w 1428749"/>
              <a:gd name="csY6" fmla="*/ 2000249 h 2000249"/>
              <a:gd name="csX7" fmla="*/ 0 w 1428749"/>
              <a:gd name="csY7" fmla="*/ 1857374 h 2000249"/>
              <a:gd name="csX8" fmla="*/ 0 w 1428749"/>
              <a:gd name="csY8" fmla="*/ 142875 h 200024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428749" h="2000249">
                <a:moveTo>
                  <a:pt x="0" y="142875"/>
                </a:moveTo>
                <a:cubicBezTo>
                  <a:pt x="0" y="63967"/>
                  <a:pt x="63967" y="0"/>
                  <a:pt x="142875" y="0"/>
                </a:cubicBezTo>
                <a:lnTo>
                  <a:pt x="1285874" y="0"/>
                </a:lnTo>
                <a:cubicBezTo>
                  <a:pt x="1364782" y="0"/>
                  <a:pt x="1428749" y="63967"/>
                  <a:pt x="1428749" y="142875"/>
                </a:cubicBezTo>
                <a:lnTo>
                  <a:pt x="1428749" y="1857374"/>
                </a:lnTo>
                <a:cubicBezTo>
                  <a:pt x="1428749" y="1936282"/>
                  <a:pt x="1364782" y="2000249"/>
                  <a:pt x="1285874" y="2000249"/>
                </a:cubicBezTo>
                <a:lnTo>
                  <a:pt x="142875" y="2000249"/>
                </a:lnTo>
                <a:cubicBezTo>
                  <a:pt x="63967" y="2000249"/>
                  <a:pt x="0" y="1936282"/>
                  <a:pt x="0" y="1857374"/>
                </a:cubicBezTo>
                <a:lnTo>
                  <a:pt x="0" y="142875"/>
                </a:lnTo>
                <a:close/>
              </a:path>
            </a:pathLst>
          </a:custGeom>
        </xdr:spPr>
        <xdr:style>
          <a:lnRef idx="1">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75605" tIns="1290320" rIns="75605" bIns="330200" numCol="1" spcCol="1270" anchor="ctr" anchorCtr="0">
            <a:noAutofit/>
          </a:bodyPr>
          <a:lstStyle/>
          <a:p>
            <a:pPr marL="0" lvl="0" indent="0" algn="ctr" defTabSz="1200150">
              <a:lnSpc>
                <a:spcPct val="90000"/>
              </a:lnSpc>
              <a:spcBef>
                <a:spcPct val="0"/>
              </a:spcBef>
              <a:spcAft>
                <a:spcPct val="35000"/>
              </a:spcAft>
              <a:buNone/>
            </a:pPr>
            <a:endParaRPr lang="en-US" sz="2700" kern="1200"/>
          </a:p>
        </xdr:txBody>
      </xdr:sp>
      <xdr:sp macro="" textlink="">
        <xdr:nvSpPr>
          <xdr:cNvPr id="13" name="Rectangle 12">
            <a:extLst>
              <a:ext uri="{FF2B5EF4-FFF2-40B4-BE49-F238E27FC236}">
                <a16:creationId xmlns:a16="http://schemas.microsoft.com/office/drawing/2014/main" id="{45E0A3C9-DD7D-DFBD-8066-5FFD6CB882BD}"/>
              </a:ext>
            </a:extLst>
          </xdr:cNvPr>
          <xdr:cNvSpPr/>
        </xdr:nvSpPr>
        <xdr:spPr>
          <a:xfrm>
            <a:off x="5946097" y="1819304"/>
            <a:ext cx="1495367" cy="749234"/>
          </a:xfrm>
          <a:prstGeom prst="rect">
            <a:avLst/>
          </a:prstGeom>
        </xdr:spPr>
        <xdr:style>
          <a:lnRef idx="1">
            <a:schemeClr val="accent1">
              <a:hueOff val="0"/>
              <a:satOff val="0"/>
              <a:lumOff val="0"/>
              <a:alphaOff val="0"/>
            </a:schemeClr>
          </a:lnRef>
          <a:fillRef idx="2">
            <a:schemeClr val="accent1">
              <a:hueOff val="0"/>
              <a:satOff val="0"/>
              <a:lumOff val="0"/>
              <a:alphaOff val="0"/>
            </a:schemeClr>
          </a:fillRef>
          <a:effectRef idx="1">
            <a:schemeClr val="accent1">
              <a:hueOff val="0"/>
              <a:satOff val="0"/>
              <a:lumOff val="0"/>
              <a:alphaOff val="0"/>
            </a:schemeClr>
          </a:effectRef>
          <a:fontRef idx="minor">
            <a:schemeClr val="dk1"/>
          </a:fontRef>
        </xdr:style>
        <xdr:txBody>
          <a:bodyPr spcFirstLastPara="0" vert="horz" wrap="square" lIns="159511" tIns="129872" rIns="159511" bIns="129872" numCol="1" spcCol="1270" anchor="ctr" anchorCtr="0">
            <a:noAutofit/>
          </a:bodyPr>
          <a:lstStyle/>
          <a:p>
            <a:pPr marL="0" lvl="0" indent="0" algn="ctr" defTabSz="1689100">
              <a:lnSpc>
                <a:spcPct val="90000"/>
              </a:lnSpc>
              <a:spcBef>
                <a:spcPct val="0"/>
              </a:spcBef>
              <a:spcAft>
                <a:spcPct val="35000"/>
              </a:spcAft>
              <a:buNone/>
            </a:pPr>
            <a:r>
              <a:rPr lang="en-US" sz="1800" kern="1200"/>
              <a:t>Total Transactions</a:t>
            </a:r>
            <a:endParaRPr sz="1800" kern="1200"/>
          </a:p>
        </xdr:txBody>
      </xdr:sp>
      <xdr:sp macro="" textlink="'Retail Sales'!M2">
        <xdr:nvSpPr>
          <xdr:cNvPr id="18" name="TextBox 17">
            <a:extLst>
              <a:ext uri="{FF2B5EF4-FFF2-40B4-BE49-F238E27FC236}">
                <a16:creationId xmlns:a16="http://schemas.microsoft.com/office/drawing/2014/main" id="{AAC8BE03-CA2F-4166-F401-93698EAB6267}"/>
              </a:ext>
            </a:extLst>
          </xdr:cNvPr>
          <xdr:cNvSpPr txBox="1"/>
        </xdr:nvSpPr>
        <xdr:spPr>
          <a:xfrm>
            <a:off x="6448252" y="2954172"/>
            <a:ext cx="1325684" cy="352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C618E43-7AB5-455E-9402-26E614879044}" type="TxLink">
              <a:rPr lang="en-US" sz="1800" b="0" i="0" u="none" strike="noStrike">
                <a:solidFill>
                  <a:srgbClr val="000000"/>
                </a:solidFill>
                <a:latin typeface="Aptos Narrow"/>
              </a:rPr>
              <a:pPr algn="ctr"/>
              <a:t>1825</a:t>
            </a:fld>
            <a:endParaRPr lang="en-US" sz="1800" b="0"/>
          </a:p>
        </xdr:txBody>
      </xdr:sp>
      <xdr:pic>
        <xdr:nvPicPr>
          <xdr:cNvPr id="10" name="Picture 9">
            <a:extLst>
              <a:ext uri="{FF2B5EF4-FFF2-40B4-BE49-F238E27FC236}">
                <a16:creationId xmlns:a16="http://schemas.microsoft.com/office/drawing/2014/main" id="{9A6FEEF7-925D-53C6-3826-0B19A6C1C4C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986628" y="2795723"/>
            <a:ext cx="478138" cy="455256"/>
          </a:xfrm>
          <a:prstGeom prst="rect">
            <a:avLst/>
          </a:prstGeom>
        </xdr:spPr>
      </xdr:pic>
    </xdr:grpSp>
    <xdr:clientData/>
  </xdr:twoCellAnchor>
  <xdr:twoCellAnchor>
    <xdr:from>
      <xdr:col>13</xdr:col>
      <xdr:colOff>357229</xdr:colOff>
      <xdr:row>9</xdr:row>
      <xdr:rowOff>39349</xdr:rowOff>
    </xdr:from>
    <xdr:to>
      <xdr:col>17</xdr:col>
      <xdr:colOff>106472</xdr:colOff>
      <xdr:row>18</xdr:row>
      <xdr:rowOff>25496</xdr:rowOff>
    </xdr:to>
    <xdr:grpSp>
      <xdr:nvGrpSpPr>
        <xdr:cNvPr id="34" name="Group 33">
          <a:extLst>
            <a:ext uri="{FF2B5EF4-FFF2-40B4-BE49-F238E27FC236}">
              <a16:creationId xmlns:a16="http://schemas.microsoft.com/office/drawing/2014/main" id="{6BE65721-54C9-2348-4F37-23FA49907285}"/>
            </a:ext>
          </a:extLst>
        </xdr:cNvPr>
        <xdr:cNvGrpSpPr/>
      </xdr:nvGrpSpPr>
      <xdr:grpSpPr>
        <a:xfrm>
          <a:off x="8306488" y="1732682"/>
          <a:ext cx="2195169" cy="1679481"/>
          <a:chOff x="7838964" y="1683180"/>
          <a:chExt cx="2207307" cy="1645340"/>
        </a:xfrm>
      </xdr:grpSpPr>
      <xdr:sp macro="" textlink="">
        <xdr:nvSpPr>
          <xdr:cNvPr id="28" name="Freeform: Shape 27">
            <a:extLst>
              <a:ext uri="{FF2B5EF4-FFF2-40B4-BE49-F238E27FC236}">
                <a16:creationId xmlns:a16="http://schemas.microsoft.com/office/drawing/2014/main" id="{1C94A8F2-3206-D618-7A9D-D9DA229BD21E}"/>
              </a:ext>
            </a:extLst>
          </xdr:cNvPr>
          <xdr:cNvSpPr/>
        </xdr:nvSpPr>
        <xdr:spPr>
          <a:xfrm>
            <a:off x="7838964" y="1683180"/>
            <a:ext cx="2139799" cy="1635207"/>
          </a:xfrm>
          <a:custGeom>
            <a:avLst/>
            <a:gdLst>
              <a:gd name="csX0" fmla="*/ 0 w 1428749"/>
              <a:gd name="csY0" fmla="*/ 142875 h 2000249"/>
              <a:gd name="csX1" fmla="*/ 142875 w 1428749"/>
              <a:gd name="csY1" fmla="*/ 0 h 2000249"/>
              <a:gd name="csX2" fmla="*/ 1285874 w 1428749"/>
              <a:gd name="csY2" fmla="*/ 0 h 2000249"/>
              <a:gd name="csX3" fmla="*/ 1428749 w 1428749"/>
              <a:gd name="csY3" fmla="*/ 142875 h 2000249"/>
              <a:gd name="csX4" fmla="*/ 1428749 w 1428749"/>
              <a:gd name="csY4" fmla="*/ 1857374 h 2000249"/>
              <a:gd name="csX5" fmla="*/ 1285874 w 1428749"/>
              <a:gd name="csY5" fmla="*/ 2000249 h 2000249"/>
              <a:gd name="csX6" fmla="*/ 142875 w 1428749"/>
              <a:gd name="csY6" fmla="*/ 2000249 h 2000249"/>
              <a:gd name="csX7" fmla="*/ 0 w 1428749"/>
              <a:gd name="csY7" fmla="*/ 1857374 h 2000249"/>
              <a:gd name="csX8" fmla="*/ 0 w 1428749"/>
              <a:gd name="csY8" fmla="*/ 142875 h 200024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428749" h="2000249">
                <a:moveTo>
                  <a:pt x="0" y="142875"/>
                </a:moveTo>
                <a:cubicBezTo>
                  <a:pt x="0" y="63967"/>
                  <a:pt x="63967" y="0"/>
                  <a:pt x="142875" y="0"/>
                </a:cubicBezTo>
                <a:lnTo>
                  <a:pt x="1285874" y="0"/>
                </a:lnTo>
                <a:cubicBezTo>
                  <a:pt x="1364782" y="0"/>
                  <a:pt x="1428749" y="63967"/>
                  <a:pt x="1428749" y="142875"/>
                </a:cubicBezTo>
                <a:lnTo>
                  <a:pt x="1428749" y="1857374"/>
                </a:lnTo>
                <a:cubicBezTo>
                  <a:pt x="1428749" y="1936282"/>
                  <a:pt x="1364782" y="2000249"/>
                  <a:pt x="1285874" y="2000249"/>
                </a:cubicBezTo>
                <a:lnTo>
                  <a:pt x="142875" y="2000249"/>
                </a:lnTo>
                <a:cubicBezTo>
                  <a:pt x="63967" y="2000249"/>
                  <a:pt x="0" y="1936282"/>
                  <a:pt x="0" y="1857374"/>
                </a:cubicBezTo>
                <a:lnTo>
                  <a:pt x="0" y="142875"/>
                </a:lnTo>
                <a:close/>
              </a:path>
            </a:pathLst>
          </a:custGeom>
        </xdr:spPr>
        <xdr:style>
          <a:lnRef idx="1">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75605" tIns="1290320" rIns="75605" bIns="330200" numCol="1" spcCol="1270" anchor="ctr" anchorCtr="0">
            <a:noAutofit/>
          </a:bodyPr>
          <a:lstStyle/>
          <a:p>
            <a:pPr marL="0" lvl="0" indent="0" algn="ctr" defTabSz="1200150">
              <a:lnSpc>
                <a:spcPct val="90000"/>
              </a:lnSpc>
              <a:spcBef>
                <a:spcPct val="0"/>
              </a:spcBef>
              <a:spcAft>
                <a:spcPct val="35000"/>
              </a:spcAft>
              <a:buNone/>
            </a:pPr>
            <a:endParaRPr lang="en-US" sz="2700" kern="1200"/>
          </a:p>
        </xdr:txBody>
      </xdr:sp>
      <xdr:sp macro="" textlink="">
        <xdr:nvSpPr>
          <xdr:cNvPr id="29" name="Rectangle 28">
            <a:extLst>
              <a:ext uri="{FF2B5EF4-FFF2-40B4-BE49-F238E27FC236}">
                <a16:creationId xmlns:a16="http://schemas.microsoft.com/office/drawing/2014/main" id="{6899A853-9382-7726-4164-67F7A0E25E42}"/>
              </a:ext>
            </a:extLst>
          </xdr:cNvPr>
          <xdr:cNvSpPr/>
        </xdr:nvSpPr>
        <xdr:spPr>
          <a:xfrm>
            <a:off x="7988709" y="1823840"/>
            <a:ext cx="1835169" cy="749227"/>
          </a:xfrm>
          <a:prstGeom prst="rect">
            <a:avLst/>
          </a:prstGeom>
        </xdr:spPr>
        <xdr:style>
          <a:lnRef idx="1">
            <a:schemeClr val="accent1">
              <a:hueOff val="0"/>
              <a:satOff val="0"/>
              <a:lumOff val="0"/>
              <a:alphaOff val="0"/>
            </a:schemeClr>
          </a:lnRef>
          <a:fillRef idx="2">
            <a:schemeClr val="accent1">
              <a:hueOff val="0"/>
              <a:satOff val="0"/>
              <a:lumOff val="0"/>
              <a:alphaOff val="0"/>
            </a:schemeClr>
          </a:fillRef>
          <a:effectRef idx="1">
            <a:schemeClr val="accent1">
              <a:hueOff val="0"/>
              <a:satOff val="0"/>
              <a:lumOff val="0"/>
              <a:alphaOff val="0"/>
            </a:schemeClr>
          </a:effectRef>
          <a:fontRef idx="minor">
            <a:schemeClr val="dk1"/>
          </a:fontRef>
        </xdr:style>
        <xdr:txBody>
          <a:bodyPr spcFirstLastPara="0" vert="horz" wrap="square" lIns="159511" tIns="129872" rIns="159511" bIns="129872" numCol="1" spcCol="1270" anchor="ctr" anchorCtr="0">
            <a:noAutofit/>
          </a:bodyPr>
          <a:lstStyle/>
          <a:p>
            <a:pPr marL="0" lvl="0" indent="0" algn="ctr" defTabSz="1689100">
              <a:lnSpc>
                <a:spcPct val="90000"/>
              </a:lnSpc>
              <a:spcBef>
                <a:spcPct val="0"/>
              </a:spcBef>
              <a:spcAft>
                <a:spcPct val="35000"/>
              </a:spcAft>
              <a:buNone/>
            </a:pPr>
            <a:r>
              <a:rPr lang="en-US" sz="2000" kern="1200"/>
              <a:t>Total sales</a:t>
            </a:r>
            <a:endParaRPr sz="2000" kern="1200"/>
          </a:p>
        </xdr:txBody>
      </xdr:sp>
      <xdr:sp macro="" textlink="'Retail Sales'!M5">
        <xdr:nvSpPr>
          <xdr:cNvPr id="30" name="TextBox 29">
            <a:extLst>
              <a:ext uri="{FF2B5EF4-FFF2-40B4-BE49-F238E27FC236}">
                <a16:creationId xmlns:a16="http://schemas.microsoft.com/office/drawing/2014/main" id="{C6A11D2D-300E-B346-46CD-42DFF1B0FBCF}"/>
              </a:ext>
            </a:extLst>
          </xdr:cNvPr>
          <xdr:cNvSpPr txBox="1"/>
        </xdr:nvSpPr>
        <xdr:spPr>
          <a:xfrm>
            <a:off x="8576423" y="2953855"/>
            <a:ext cx="1469848" cy="3746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6EBD0B6-98D0-4487-8F64-1B6E0E65FA00}" type="TxLink">
              <a:rPr lang="en-US" sz="1800" b="0" i="0" u="none" strike="noStrike">
                <a:solidFill>
                  <a:srgbClr val="000000"/>
                </a:solidFill>
                <a:latin typeface="Aptos Narrow"/>
              </a:rPr>
              <a:pPr algn="ctr"/>
              <a:t> 1 374 503,17 </a:t>
            </a:fld>
            <a:endParaRPr lang="en-US" sz="1800" b="0"/>
          </a:p>
        </xdr:txBody>
      </xdr:sp>
      <xdr:pic>
        <xdr:nvPicPr>
          <xdr:cNvPr id="14" name="Picture 13">
            <a:extLst>
              <a:ext uri="{FF2B5EF4-FFF2-40B4-BE49-F238E27FC236}">
                <a16:creationId xmlns:a16="http://schemas.microsoft.com/office/drawing/2014/main" id="{F19C5E59-A62E-3F0A-F266-39FB570E904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059641" y="2805854"/>
            <a:ext cx="471600" cy="455256"/>
          </a:xfrm>
          <a:prstGeom prst="rect">
            <a:avLst/>
          </a:prstGeom>
        </xdr:spPr>
      </xdr:pic>
    </xdr:grpSp>
    <xdr:clientData/>
  </xdr:twoCellAnchor>
  <xdr:twoCellAnchor>
    <xdr:from>
      <xdr:col>17</xdr:col>
      <xdr:colOff>338093</xdr:colOff>
      <xdr:row>9</xdr:row>
      <xdr:rowOff>34812</xdr:rowOff>
    </xdr:from>
    <xdr:to>
      <xdr:col>20</xdr:col>
      <xdr:colOff>429506</xdr:colOff>
      <xdr:row>18</xdr:row>
      <xdr:rowOff>35629</xdr:rowOff>
    </xdr:to>
    <xdr:grpSp>
      <xdr:nvGrpSpPr>
        <xdr:cNvPr id="35" name="Group 34">
          <a:extLst>
            <a:ext uri="{FF2B5EF4-FFF2-40B4-BE49-F238E27FC236}">
              <a16:creationId xmlns:a16="http://schemas.microsoft.com/office/drawing/2014/main" id="{1971034E-F0F1-DAAB-FC2C-5FBB6651538A}"/>
            </a:ext>
          </a:extLst>
        </xdr:cNvPr>
        <xdr:cNvGrpSpPr/>
      </xdr:nvGrpSpPr>
      <xdr:grpSpPr>
        <a:xfrm>
          <a:off x="10733278" y="1728145"/>
          <a:ext cx="1925858" cy="1694151"/>
          <a:chOff x="10277892" y="1678643"/>
          <a:chExt cx="1934962" cy="1660010"/>
        </a:xfrm>
      </xdr:grpSpPr>
      <xdr:sp macro="" textlink="">
        <xdr:nvSpPr>
          <xdr:cNvPr id="22" name="Freeform: Shape 21">
            <a:extLst>
              <a:ext uri="{FF2B5EF4-FFF2-40B4-BE49-F238E27FC236}">
                <a16:creationId xmlns:a16="http://schemas.microsoft.com/office/drawing/2014/main" id="{8D5C41F4-7F25-4F49-A1E2-BB839F9C0917}"/>
              </a:ext>
            </a:extLst>
          </xdr:cNvPr>
          <xdr:cNvSpPr/>
        </xdr:nvSpPr>
        <xdr:spPr>
          <a:xfrm>
            <a:off x="10277892" y="1678643"/>
            <a:ext cx="1780664" cy="1660010"/>
          </a:xfrm>
          <a:custGeom>
            <a:avLst/>
            <a:gdLst>
              <a:gd name="csX0" fmla="*/ 0 w 1428749"/>
              <a:gd name="csY0" fmla="*/ 142875 h 2000249"/>
              <a:gd name="csX1" fmla="*/ 142875 w 1428749"/>
              <a:gd name="csY1" fmla="*/ 0 h 2000249"/>
              <a:gd name="csX2" fmla="*/ 1285874 w 1428749"/>
              <a:gd name="csY2" fmla="*/ 0 h 2000249"/>
              <a:gd name="csX3" fmla="*/ 1428749 w 1428749"/>
              <a:gd name="csY3" fmla="*/ 142875 h 2000249"/>
              <a:gd name="csX4" fmla="*/ 1428749 w 1428749"/>
              <a:gd name="csY4" fmla="*/ 1857374 h 2000249"/>
              <a:gd name="csX5" fmla="*/ 1285874 w 1428749"/>
              <a:gd name="csY5" fmla="*/ 2000249 h 2000249"/>
              <a:gd name="csX6" fmla="*/ 142875 w 1428749"/>
              <a:gd name="csY6" fmla="*/ 2000249 h 2000249"/>
              <a:gd name="csX7" fmla="*/ 0 w 1428749"/>
              <a:gd name="csY7" fmla="*/ 1857374 h 2000249"/>
              <a:gd name="csX8" fmla="*/ 0 w 1428749"/>
              <a:gd name="csY8" fmla="*/ 142875 h 200024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428749" h="2000249">
                <a:moveTo>
                  <a:pt x="0" y="142875"/>
                </a:moveTo>
                <a:cubicBezTo>
                  <a:pt x="0" y="63967"/>
                  <a:pt x="63967" y="0"/>
                  <a:pt x="142875" y="0"/>
                </a:cubicBezTo>
                <a:lnTo>
                  <a:pt x="1285874" y="0"/>
                </a:lnTo>
                <a:cubicBezTo>
                  <a:pt x="1364782" y="0"/>
                  <a:pt x="1428749" y="63967"/>
                  <a:pt x="1428749" y="142875"/>
                </a:cubicBezTo>
                <a:lnTo>
                  <a:pt x="1428749" y="1857374"/>
                </a:lnTo>
                <a:cubicBezTo>
                  <a:pt x="1428749" y="1936282"/>
                  <a:pt x="1364782" y="2000249"/>
                  <a:pt x="1285874" y="2000249"/>
                </a:cubicBezTo>
                <a:lnTo>
                  <a:pt x="142875" y="2000249"/>
                </a:lnTo>
                <a:cubicBezTo>
                  <a:pt x="63967" y="2000249"/>
                  <a:pt x="0" y="1936282"/>
                  <a:pt x="0" y="1857374"/>
                </a:cubicBezTo>
                <a:lnTo>
                  <a:pt x="0" y="142875"/>
                </a:lnTo>
                <a:close/>
              </a:path>
            </a:pathLst>
          </a:custGeom>
        </xdr:spPr>
        <xdr:style>
          <a:lnRef idx="1">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75605" tIns="1290320" rIns="75605" bIns="330200" numCol="1" spcCol="1270" anchor="ctr" anchorCtr="0">
            <a:noAutofit/>
          </a:bodyPr>
          <a:lstStyle/>
          <a:p>
            <a:pPr marL="0" lvl="0" indent="0" algn="ctr" defTabSz="1200150">
              <a:lnSpc>
                <a:spcPct val="90000"/>
              </a:lnSpc>
              <a:spcBef>
                <a:spcPct val="0"/>
              </a:spcBef>
              <a:spcAft>
                <a:spcPct val="35000"/>
              </a:spcAft>
              <a:buNone/>
            </a:pPr>
            <a:endParaRPr lang="en-US" sz="2700" kern="1200"/>
          </a:p>
        </xdr:txBody>
      </xdr:sp>
      <xdr:sp macro="" textlink="">
        <xdr:nvSpPr>
          <xdr:cNvPr id="23" name="Rectangle 22">
            <a:extLst>
              <a:ext uri="{FF2B5EF4-FFF2-40B4-BE49-F238E27FC236}">
                <a16:creationId xmlns:a16="http://schemas.microsoft.com/office/drawing/2014/main" id="{A25AE1E8-FB5F-4296-A5F5-7556C8B700AA}"/>
              </a:ext>
            </a:extLst>
          </xdr:cNvPr>
          <xdr:cNvSpPr/>
        </xdr:nvSpPr>
        <xdr:spPr>
          <a:xfrm>
            <a:off x="10413258" y="1824062"/>
            <a:ext cx="1490212" cy="749363"/>
          </a:xfrm>
          <a:prstGeom prst="rect">
            <a:avLst/>
          </a:prstGeom>
        </xdr:spPr>
        <xdr:style>
          <a:lnRef idx="1">
            <a:schemeClr val="accent1">
              <a:hueOff val="0"/>
              <a:satOff val="0"/>
              <a:lumOff val="0"/>
              <a:alphaOff val="0"/>
            </a:schemeClr>
          </a:lnRef>
          <a:fillRef idx="2">
            <a:schemeClr val="accent1">
              <a:hueOff val="0"/>
              <a:satOff val="0"/>
              <a:lumOff val="0"/>
              <a:alphaOff val="0"/>
            </a:schemeClr>
          </a:fillRef>
          <a:effectRef idx="1">
            <a:schemeClr val="accent1">
              <a:hueOff val="0"/>
              <a:satOff val="0"/>
              <a:lumOff val="0"/>
              <a:alphaOff val="0"/>
            </a:schemeClr>
          </a:effectRef>
          <a:fontRef idx="minor">
            <a:schemeClr val="dk1"/>
          </a:fontRef>
        </xdr:style>
        <xdr:txBody>
          <a:bodyPr spcFirstLastPara="0" vert="horz" wrap="square" lIns="159511" tIns="129872" rIns="159511" bIns="129872" numCol="1" spcCol="1270" anchor="ctr" anchorCtr="0">
            <a:noAutofit/>
          </a:bodyPr>
          <a:lstStyle/>
          <a:p>
            <a:pPr marL="0" lvl="0" indent="0" algn="ctr" defTabSz="1689100">
              <a:lnSpc>
                <a:spcPct val="90000"/>
              </a:lnSpc>
              <a:spcBef>
                <a:spcPct val="0"/>
              </a:spcBef>
              <a:spcAft>
                <a:spcPct val="35000"/>
              </a:spcAft>
              <a:buNone/>
            </a:pPr>
            <a:r>
              <a:rPr lang="en-US" sz="1800" kern="1200"/>
              <a:t>Total Quantity</a:t>
            </a:r>
            <a:endParaRPr sz="1800" kern="1200"/>
          </a:p>
        </xdr:txBody>
      </xdr:sp>
      <xdr:sp macro="" textlink="'Retail Sales'!M8">
        <xdr:nvSpPr>
          <xdr:cNvPr id="24" name="TextBox 23">
            <a:extLst>
              <a:ext uri="{FF2B5EF4-FFF2-40B4-BE49-F238E27FC236}">
                <a16:creationId xmlns:a16="http://schemas.microsoft.com/office/drawing/2014/main" id="{81803B89-00CE-49A8-A93D-15419CF865F1}"/>
              </a:ext>
            </a:extLst>
          </xdr:cNvPr>
          <xdr:cNvSpPr txBox="1"/>
        </xdr:nvSpPr>
        <xdr:spPr>
          <a:xfrm>
            <a:off x="10777875" y="2986556"/>
            <a:ext cx="1434979" cy="3520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DDB40BF-0B8C-42A6-8555-9DFD2EC94FC7}" type="TxLink">
              <a:rPr lang="en-US" sz="1800" b="0" i="0" u="none" strike="noStrike">
                <a:solidFill>
                  <a:srgbClr val="000000"/>
                </a:solidFill>
                <a:latin typeface="Aptos Narrow"/>
              </a:rPr>
              <a:pPr algn="ctr"/>
              <a:t> 18 348,00 </a:t>
            </a:fld>
            <a:endParaRPr lang="en-US" sz="1800" b="0"/>
          </a:p>
        </xdr:txBody>
      </xdr:sp>
      <xdr:pic>
        <xdr:nvPicPr>
          <xdr:cNvPr id="16" name="Picture 15">
            <a:extLst>
              <a:ext uri="{FF2B5EF4-FFF2-40B4-BE49-F238E27FC236}">
                <a16:creationId xmlns:a16="http://schemas.microsoft.com/office/drawing/2014/main" id="{04600AC2-76AA-F53F-B060-FA626ABE09A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0456907" y="2836255"/>
            <a:ext cx="468000" cy="453334"/>
          </a:xfrm>
          <a:prstGeom prst="rect">
            <a:avLst/>
          </a:prstGeom>
        </xdr:spPr>
      </xdr:pic>
    </xdr:grpSp>
    <xdr:clientData/>
  </xdr:twoCellAnchor>
  <xdr:twoCellAnchor>
    <xdr:from>
      <xdr:col>21</xdr:col>
      <xdr:colOff>57786</xdr:colOff>
      <xdr:row>9</xdr:row>
      <xdr:rowOff>39349</xdr:rowOff>
    </xdr:from>
    <xdr:to>
      <xdr:col>24</xdr:col>
      <xdr:colOff>470039</xdr:colOff>
      <xdr:row>18</xdr:row>
      <xdr:rowOff>25496</xdr:rowOff>
    </xdr:to>
    <xdr:grpSp>
      <xdr:nvGrpSpPr>
        <xdr:cNvPr id="36" name="Group 35">
          <a:extLst>
            <a:ext uri="{FF2B5EF4-FFF2-40B4-BE49-F238E27FC236}">
              <a16:creationId xmlns:a16="http://schemas.microsoft.com/office/drawing/2014/main" id="{0CFB4AFC-916F-006E-897F-3A909FC9FA7D}"/>
            </a:ext>
          </a:extLst>
        </xdr:cNvPr>
        <xdr:cNvGrpSpPr/>
      </xdr:nvGrpSpPr>
      <xdr:grpSpPr>
        <a:xfrm>
          <a:off x="12898897" y="1732682"/>
          <a:ext cx="2246698" cy="1679481"/>
          <a:chOff x="12455650" y="1683180"/>
          <a:chExt cx="2255801" cy="1645340"/>
        </a:xfrm>
      </xdr:grpSpPr>
      <xdr:sp macro="" textlink="">
        <xdr:nvSpPr>
          <xdr:cNvPr id="25" name="Freeform: Shape 24">
            <a:extLst>
              <a:ext uri="{FF2B5EF4-FFF2-40B4-BE49-F238E27FC236}">
                <a16:creationId xmlns:a16="http://schemas.microsoft.com/office/drawing/2014/main" id="{75C1ED25-BB1D-4D46-8829-C9E465E489A7}"/>
              </a:ext>
            </a:extLst>
          </xdr:cNvPr>
          <xdr:cNvSpPr/>
        </xdr:nvSpPr>
        <xdr:spPr>
          <a:xfrm>
            <a:off x="12455650" y="1683180"/>
            <a:ext cx="2067880" cy="1635207"/>
          </a:xfrm>
          <a:custGeom>
            <a:avLst/>
            <a:gdLst>
              <a:gd name="csX0" fmla="*/ 0 w 1428749"/>
              <a:gd name="csY0" fmla="*/ 142875 h 2000249"/>
              <a:gd name="csX1" fmla="*/ 142875 w 1428749"/>
              <a:gd name="csY1" fmla="*/ 0 h 2000249"/>
              <a:gd name="csX2" fmla="*/ 1285874 w 1428749"/>
              <a:gd name="csY2" fmla="*/ 0 h 2000249"/>
              <a:gd name="csX3" fmla="*/ 1428749 w 1428749"/>
              <a:gd name="csY3" fmla="*/ 142875 h 2000249"/>
              <a:gd name="csX4" fmla="*/ 1428749 w 1428749"/>
              <a:gd name="csY4" fmla="*/ 1857374 h 2000249"/>
              <a:gd name="csX5" fmla="*/ 1285874 w 1428749"/>
              <a:gd name="csY5" fmla="*/ 2000249 h 2000249"/>
              <a:gd name="csX6" fmla="*/ 142875 w 1428749"/>
              <a:gd name="csY6" fmla="*/ 2000249 h 2000249"/>
              <a:gd name="csX7" fmla="*/ 0 w 1428749"/>
              <a:gd name="csY7" fmla="*/ 1857374 h 2000249"/>
              <a:gd name="csX8" fmla="*/ 0 w 1428749"/>
              <a:gd name="csY8" fmla="*/ 142875 h 200024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428749" h="2000249">
                <a:moveTo>
                  <a:pt x="0" y="142875"/>
                </a:moveTo>
                <a:cubicBezTo>
                  <a:pt x="0" y="63967"/>
                  <a:pt x="63967" y="0"/>
                  <a:pt x="142875" y="0"/>
                </a:cubicBezTo>
                <a:lnTo>
                  <a:pt x="1285874" y="0"/>
                </a:lnTo>
                <a:cubicBezTo>
                  <a:pt x="1364782" y="0"/>
                  <a:pt x="1428749" y="63967"/>
                  <a:pt x="1428749" y="142875"/>
                </a:cubicBezTo>
                <a:lnTo>
                  <a:pt x="1428749" y="1857374"/>
                </a:lnTo>
                <a:cubicBezTo>
                  <a:pt x="1428749" y="1936282"/>
                  <a:pt x="1364782" y="2000249"/>
                  <a:pt x="1285874" y="2000249"/>
                </a:cubicBezTo>
                <a:lnTo>
                  <a:pt x="142875" y="2000249"/>
                </a:lnTo>
                <a:cubicBezTo>
                  <a:pt x="63967" y="2000249"/>
                  <a:pt x="0" y="1936282"/>
                  <a:pt x="0" y="1857374"/>
                </a:cubicBezTo>
                <a:lnTo>
                  <a:pt x="0" y="142875"/>
                </a:lnTo>
                <a:close/>
              </a:path>
            </a:pathLst>
          </a:custGeom>
        </xdr:spPr>
        <xdr:style>
          <a:lnRef idx="1">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75605" tIns="1290320" rIns="75605" bIns="330200" numCol="1" spcCol="1270" anchor="ctr" anchorCtr="0">
            <a:noAutofit/>
          </a:bodyPr>
          <a:lstStyle/>
          <a:p>
            <a:pPr marL="0" lvl="0" indent="0" algn="ctr" defTabSz="1200150">
              <a:lnSpc>
                <a:spcPct val="90000"/>
              </a:lnSpc>
              <a:spcBef>
                <a:spcPct val="0"/>
              </a:spcBef>
              <a:spcAft>
                <a:spcPct val="35000"/>
              </a:spcAft>
              <a:buNone/>
            </a:pPr>
            <a:endParaRPr lang="en-US" sz="2700" kern="1200"/>
          </a:p>
        </xdr:txBody>
      </xdr:sp>
      <xdr:sp macro="" textlink="">
        <xdr:nvSpPr>
          <xdr:cNvPr id="26" name="Rectangle 25">
            <a:extLst>
              <a:ext uri="{FF2B5EF4-FFF2-40B4-BE49-F238E27FC236}">
                <a16:creationId xmlns:a16="http://schemas.microsoft.com/office/drawing/2014/main" id="{38D8C8B3-894A-4EBA-A07E-A7858191E5E5}"/>
              </a:ext>
            </a:extLst>
          </xdr:cNvPr>
          <xdr:cNvSpPr/>
        </xdr:nvSpPr>
        <xdr:spPr>
          <a:xfrm>
            <a:off x="12572380" y="1823840"/>
            <a:ext cx="1800920" cy="749227"/>
          </a:xfrm>
          <a:prstGeom prst="rect">
            <a:avLst/>
          </a:prstGeom>
        </xdr:spPr>
        <xdr:style>
          <a:lnRef idx="1">
            <a:schemeClr val="accent1">
              <a:hueOff val="0"/>
              <a:satOff val="0"/>
              <a:lumOff val="0"/>
              <a:alphaOff val="0"/>
            </a:schemeClr>
          </a:lnRef>
          <a:fillRef idx="2">
            <a:schemeClr val="accent1">
              <a:hueOff val="0"/>
              <a:satOff val="0"/>
              <a:lumOff val="0"/>
              <a:alphaOff val="0"/>
            </a:schemeClr>
          </a:fillRef>
          <a:effectRef idx="1">
            <a:schemeClr val="accent1">
              <a:hueOff val="0"/>
              <a:satOff val="0"/>
              <a:lumOff val="0"/>
              <a:alphaOff val="0"/>
            </a:schemeClr>
          </a:effectRef>
          <a:fontRef idx="minor">
            <a:schemeClr val="dk1"/>
          </a:fontRef>
        </xdr:style>
        <xdr:txBody>
          <a:bodyPr spcFirstLastPara="0" vert="horz" wrap="square" lIns="159511" tIns="129872" rIns="159511" bIns="129872" numCol="1" spcCol="1270" anchor="ctr" anchorCtr="0">
            <a:noAutofit/>
          </a:bodyPr>
          <a:lstStyle/>
          <a:p>
            <a:pPr marL="0" lvl="0" indent="0" algn="ctr" defTabSz="1689100">
              <a:lnSpc>
                <a:spcPct val="90000"/>
              </a:lnSpc>
              <a:spcBef>
                <a:spcPct val="0"/>
              </a:spcBef>
              <a:spcAft>
                <a:spcPct val="35000"/>
              </a:spcAft>
              <a:buNone/>
            </a:pPr>
            <a:r>
              <a:rPr lang="en-US" sz="1800" kern="1200"/>
              <a:t>Total Profit</a:t>
            </a:r>
            <a:endParaRPr sz="1800" kern="1200"/>
          </a:p>
        </xdr:txBody>
      </xdr:sp>
      <xdr:sp macro="" textlink="'Retail Sales'!M11">
        <xdr:nvSpPr>
          <xdr:cNvPr id="27" name="TextBox 26">
            <a:extLst>
              <a:ext uri="{FF2B5EF4-FFF2-40B4-BE49-F238E27FC236}">
                <a16:creationId xmlns:a16="http://schemas.microsoft.com/office/drawing/2014/main" id="{5E8C6093-ADCD-416E-8544-5FD37A0436FF}"/>
              </a:ext>
            </a:extLst>
          </xdr:cNvPr>
          <xdr:cNvSpPr txBox="1"/>
        </xdr:nvSpPr>
        <xdr:spPr>
          <a:xfrm>
            <a:off x="12975911" y="2947637"/>
            <a:ext cx="1735540" cy="380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3CD2BA9-FE83-43B7-B176-CEF3E30E0A48}" type="TxLink">
              <a:rPr lang="en-US" sz="1800" b="0" i="0" u="none" strike="noStrike">
                <a:solidFill>
                  <a:srgbClr val="000000"/>
                </a:solidFill>
                <a:latin typeface="Aptos Narrow"/>
              </a:rPr>
              <a:pPr algn="ctr"/>
              <a:t> 453 870,44 </a:t>
            </a:fld>
            <a:endParaRPr lang="en-US" sz="1800" b="0"/>
          </a:p>
        </xdr:txBody>
      </xdr:sp>
      <xdr:pic>
        <xdr:nvPicPr>
          <xdr:cNvPr id="19" name="Picture 18">
            <a:extLst>
              <a:ext uri="{FF2B5EF4-FFF2-40B4-BE49-F238E27FC236}">
                <a16:creationId xmlns:a16="http://schemas.microsoft.com/office/drawing/2014/main" id="{98258D9E-3019-0400-CE19-34ACBB1BA063}"/>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2655110" y="2815988"/>
            <a:ext cx="474537" cy="453334"/>
          </a:xfrm>
          <a:prstGeom prst="rect">
            <a:avLst/>
          </a:prstGeom>
        </xdr:spPr>
      </xdr:pic>
    </xdr:grp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86.978408564813" createdVersion="8" refreshedVersion="8" minRefreshableVersion="3" recordCount="1825" xr:uid="{E6D1F0EF-8B1B-408A-9880-AC03B30FDF22}">
  <cacheSource type="worksheet">
    <worksheetSource name="Table1"/>
  </cacheSource>
  <cacheFields count="10">
    <cacheField name="Date" numFmtId="0">
      <sharedItems/>
    </cacheField>
    <cacheField name="Converted Date" numFmtId="164">
      <sharedItems containsSemiMixedTypes="0" containsNonDate="0" containsDate="1" containsString="0" minDate="2023-01-01T00:00:00" maxDate="2024-01-01T00:00:00"/>
    </cacheField>
    <cacheField name="Day" numFmtId="164">
      <sharedItems/>
    </cacheField>
    <cacheField name="Month" numFmtId="164">
      <sharedItems count="12">
        <s v="January"/>
        <s v="February"/>
        <s v="March"/>
        <s v="April"/>
        <s v="May"/>
        <s v="June"/>
        <s v="July"/>
        <s v="August"/>
        <s v="September"/>
        <s v="October"/>
        <s v="November"/>
        <s v="December"/>
      </sharedItems>
    </cacheField>
    <cacheField name="Year" numFmtId="164">
      <sharedItems count="1">
        <s v="2023"/>
      </sharedItems>
    </cacheField>
    <cacheField name="Category" numFmtId="0">
      <sharedItems count="5">
        <s v="Electronics"/>
        <s v="Clothing"/>
        <s v="Home Goods"/>
        <s v="Sports"/>
        <s v="Books"/>
      </sharedItems>
    </cacheField>
    <cacheField name="Sales" numFmtId="2">
      <sharedItems containsSemiMixedTypes="0" containsString="0" containsNumber="1" minValue="1.15838765697" maxValue="1888.9325368921"/>
    </cacheField>
    <cacheField name="Quantity" numFmtId="1">
      <sharedItems containsSemiMixedTypes="0" containsString="0" containsNumber="1" containsInteger="1" minValue="0" maxValue="19"/>
    </cacheField>
    <cacheField name="Profit" numFmtId="43">
      <sharedItems containsSemiMixedTypes="0" containsString="0" containsNumber="1" minValue="0" maxValue="703.22841779999999"/>
    </cacheField>
    <cacheField name="Region" numFmtId="0">
      <sharedItems count="5">
        <s v="North"/>
        <s v="East"/>
        <s v="South"/>
        <s v="West"/>
        <s v="Unknown"/>
      </sharedItems>
    </cacheField>
  </cacheFields>
  <extLst>
    <ext xmlns:x14="http://schemas.microsoft.com/office/spreadsheetml/2009/9/main" uri="{725AE2AE-9491-48be-B2B4-4EB974FC3084}">
      <x14:pivotCacheDefinition pivotCacheId="13424228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25">
  <r>
    <s v="1/1/2023"/>
    <d v="2023-01-01T00:00:00"/>
    <s v="Sunday"/>
    <x v="0"/>
    <x v="0"/>
    <x v="0"/>
    <n v="1149.142459336"/>
    <n v="11"/>
    <n v="383.66424460000002"/>
    <x v="0"/>
  </r>
  <r>
    <s v="1/1/2023"/>
    <d v="2023-01-01T00:00:00"/>
    <s v="Sunday"/>
    <x v="0"/>
    <x v="0"/>
    <x v="1"/>
    <n v="958.52796486440002"/>
    <n v="7"/>
    <n v="224.054048959814"/>
    <x v="1"/>
  </r>
  <r>
    <s v="1/1/2023"/>
    <d v="2023-01-01T00:00:00"/>
    <s v="Sunday"/>
    <x v="0"/>
    <x v="0"/>
    <x v="2"/>
    <n v="1473.7638446522101"/>
    <n v="2"/>
    <n v="466.59309040026199"/>
    <x v="2"/>
  </r>
  <r>
    <s v="1/1/2023"/>
    <d v="2023-01-01T00:00:00"/>
    <s v="Sunday"/>
    <x v="0"/>
    <x v="0"/>
    <x v="3"/>
    <n v="123.23418745870001"/>
    <n v="6"/>
    <n v="123.310460302596"/>
    <x v="3"/>
  </r>
  <r>
    <s v="1/1/2023"/>
    <d v="2023-01-01T00:00:00"/>
    <s v="Sunday"/>
    <x v="0"/>
    <x v="0"/>
    <x v="4"/>
    <n v="828.58595273756998"/>
    <n v="12"/>
    <n v="88.591355437943307"/>
    <x v="1"/>
  </r>
  <r>
    <s v="1/2/2023"/>
    <d v="2023-01-02T00:00:00"/>
    <s v="Monday"/>
    <x v="0"/>
    <x v="0"/>
    <x v="0"/>
    <n v="722.77514867586797"/>
    <n v="10"/>
    <n v="82.396149367770505"/>
    <x v="3"/>
  </r>
  <r>
    <s v="1/2/2023"/>
    <d v="2023-01-02T00:00:00"/>
    <s v="Monday"/>
    <x v="0"/>
    <x v="0"/>
    <x v="1"/>
    <n v="788.99685948777699"/>
    <n v="15"/>
    <n v="225.27107174327301"/>
    <x v="3"/>
  </r>
  <r>
    <s v="1/2/2023"/>
    <d v="2023-01-02T00:00:00"/>
    <s v="Monday"/>
    <x v="0"/>
    <x v="0"/>
    <x v="2"/>
    <n v="358.11383177127999"/>
    <n v="3"/>
    <n v="128.19833918632099"/>
    <x v="1"/>
  </r>
  <r>
    <s v="1/2/2023"/>
    <d v="2023-01-02T00:00:00"/>
    <s v="Monday"/>
    <x v="0"/>
    <x v="0"/>
    <x v="3"/>
    <n v="819.92384496822604"/>
    <n v="2"/>
    <n v="250.29807668244999"/>
    <x v="1"/>
  </r>
  <r>
    <s v="1/2/2023"/>
    <d v="2023-01-02T00:00:00"/>
    <s v="Monday"/>
    <x v="0"/>
    <x v="0"/>
    <x v="4"/>
    <n v="1284.23194631399"/>
    <n v="7"/>
    <n v="363.43635315216"/>
    <x v="3"/>
  </r>
  <r>
    <s v="1/3/2023"/>
    <d v="2023-01-03T00:00:00"/>
    <s v="Tuesday"/>
    <x v="0"/>
    <x v="0"/>
    <x v="0"/>
    <n v="1246.7634736395"/>
    <n v="2"/>
    <n v="283.69699183768898"/>
    <x v="2"/>
  </r>
  <r>
    <s v="1/3/2023"/>
    <d v="2023-01-03T00:00:00"/>
    <s v="Tuesday"/>
    <x v="0"/>
    <x v="0"/>
    <x v="1"/>
    <n v="633.74695869300001"/>
    <n v="10"/>
    <n v="171.308188219371"/>
    <x v="0"/>
  </r>
  <r>
    <s v="1/3/2023"/>
    <d v="2023-01-03T00:00:00"/>
    <s v="Tuesday"/>
    <x v="0"/>
    <x v="0"/>
    <x v="2"/>
    <n v="1221.5399739986201"/>
    <n v="8"/>
    <n v="331.20003269871501"/>
    <x v="3"/>
  </r>
  <r>
    <s v="1/3/2023"/>
    <d v="2023-01-03T00:00:00"/>
    <s v="Tuesday"/>
    <x v="0"/>
    <x v="0"/>
    <x v="3"/>
    <n v="746.15692945599994"/>
    <n v="10"/>
    <n v="371.52657130406902"/>
    <x v="4"/>
  </r>
  <r>
    <s v="1/3/2023"/>
    <d v="2023-01-03T00:00:00"/>
    <s v="Tuesday"/>
    <x v="0"/>
    <x v="0"/>
    <x v="4"/>
    <n v="1232.1112551000001"/>
    <n v="13"/>
    <n v="175.30126184188299"/>
    <x v="1"/>
  </r>
  <r>
    <s v="1/4/2023"/>
    <d v="2023-01-04T00:00:00"/>
    <s v="Wednesday"/>
    <x v="0"/>
    <x v="0"/>
    <x v="0"/>
    <n v="839"/>
    <n v="13"/>
    <n v="102.610250599933"/>
    <x v="1"/>
  </r>
  <r>
    <s v="1/4/2023"/>
    <d v="2023-01-04T00:00:00"/>
    <s v="Wednesday"/>
    <x v="0"/>
    <x v="0"/>
    <x v="1"/>
    <n v="437.29696833844002"/>
    <n v="8"/>
    <n v="44.454138356892102"/>
    <x v="1"/>
  </r>
  <r>
    <s v="1/4/2023"/>
    <d v="2023-01-04T00:00:00"/>
    <s v="Wednesday"/>
    <x v="0"/>
    <x v="0"/>
    <x v="2"/>
    <n v="589.96535833410996"/>
    <n v="19"/>
    <n v="184.10293967965799"/>
    <x v="1"/>
  </r>
  <r>
    <s v="1/4/2023"/>
    <d v="2023-01-04T00:00:00"/>
    <s v="Wednesday"/>
    <x v="0"/>
    <x v="0"/>
    <x v="3"/>
    <n v="1142.8127762289"/>
    <n v="10"/>
    <n v="237.17904194889999"/>
    <x v="0"/>
  </r>
  <r>
    <s v="1/4/2023"/>
    <d v="2023-01-04T00:00:00"/>
    <s v="Wednesday"/>
    <x v="0"/>
    <x v="0"/>
    <x v="4"/>
    <n v="1391.9838519570001"/>
    <n v="7"/>
    <n v="493.85602473472301"/>
    <x v="3"/>
  </r>
  <r>
    <s v="1/5/2023"/>
    <d v="2023-01-05T00:00:00"/>
    <s v="Thursday"/>
    <x v="0"/>
    <x v="0"/>
    <x v="0"/>
    <n v="856"/>
    <n v="5"/>
    <n v="273.04186276714802"/>
    <x v="3"/>
  </r>
  <r>
    <s v="1/5/2023"/>
    <d v="2023-01-05T00:00:00"/>
    <s v="Thursday"/>
    <x v="0"/>
    <x v="0"/>
    <x v="1"/>
    <n v="944.32378540000002"/>
    <n v="3"/>
    <n v="228.20432366928401"/>
    <x v="0"/>
  </r>
  <r>
    <s v="1/5/2023"/>
    <d v="2023-01-05T00:00:00"/>
    <s v="Thursday"/>
    <x v="0"/>
    <x v="0"/>
    <x v="2"/>
    <n v="719.87114772638495"/>
    <n v="14"/>
    <n v="178.62787558175901"/>
    <x v="0"/>
  </r>
  <r>
    <s v="1/5/2023"/>
    <d v="2023-01-05T00:00:00"/>
    <s v="Thursday"/>
    <x v="0"/>
    <x v="0"/>
    <x v="3"/>
    <n v="1235.2624562961801"/>
    <n v="15"/>
    <n v="281.96385620000001"/>
    <x v="2"/>
  </r>
  <r>
    <s v="1/5/2023"/>
    <d v="2023-01-05T00:00:00"/>
    <s v="Thursday"/>
    <x v="0"/>
    <x v="0"/>
    <x v="4"/>
    <n v="585.78489271832404"/>
    <n v="7"/>
    <n v="142.117897828298"/>
    <x v="0"/>
  </r>
  <r>
    <s v="1/6/2023"/>
    <d v="2023-01-06T00:00:00"/>
    <s v="Friday"/>
    <x v="0"/>
    <x v="0"/>
    <x v="0"/>
    <n v="916"/>
    <n v="4"/>
    <n v="340.90921960487702"/>
    <x v="1"/>
  </r>
  <r>
    <s v="1/6/2023"/>
    <d v="2023-01-06T00:00:00"/>
    <s v="Friday"/>
    <x v="0"/>
    <x v="0"/>
    <x v="1"/>
    <n v="1261.81152939715"/>
    <n v="4"/>
    <n v="483.09220469871599"/>
    <x v="1"/>
  </r>
  <r>
    <s v="1/6/2023"/>
    <d v="2023-01-06T00:00:00"/>
    <s v="Friday"/>
    <x v="0"/>
    <x v="0"/>
    <x v="2"/>
    <n v="1686.16779488718"/>
    <n v="19"/>
    <n v="250.170622214106"/>
    <x v="4"/>
  </r>
  <r>
    <s v="1/6/2023"/>
    <d v="2023-01-06T00:00:00"/>
    <s v="Friday"/>
    <x v="0"/>
    <x v="0"/>
    <x v="3"/>
    <n v="559.99634446141999"/>
    <n v="6"/>
    <n v="132.67639478594799"/>
    <x v="3"/>
  </r>
  <r>
    <s v="1/6/2023"/>
    <d v="2023-01-06T00:00:00"/>
    <s v="Friday"/>
    <x v="0"/>
    <x v="0"/>
    <x v="4"/>
    <n v="1267.78884145184"/>
    <n v="12"/>
    <n v="285.19288342430701"/>
    <x v="2"/>
  </r>
  <r>
    <s v="1/7/2023"/>
    <d v="2023-01-07T00:00:00"/>
    <s v="Saturday"/>
    <x v="0"/>
    <x v="0"/>
    <x v="0"/>
    <n v="1411.558646493"/>
    <n v="7"/>
    <n v="525.16832052265102"/>
    <x v="0"/>
  </r>
  <r>
    <s v="1/7/2023"/>
    <d v="2023-01-07T00:00:00"/>
    <s v="Saturday"/>
    <x v="0"/>
    <x v="0"/>
    <x v="1"/>
    <n v="152.66598818643999"/>
    <n v="13"/>
    <n v="377.08514181439602"/>
    <x v="1"/>
  </r>
  <r>
    <s v="1/7/2023"/>
    <d v="2023-01-07T00:00:00"/>
    <s v="Saturday"/>
    <x v="0"/>
    <x v="0"/>
    <x v="2"/>
    <n v="138.1367181153"/>
    <n v="5"/>
    <n v="319.45648365255499"/>
    <x v="2"/>
  </r>
  <r>
    <s v="1/7/2023"/>
    <d v="2023-01-07T00:00:00"/>
    <s v="Saturday"/>
    <x v="0"/>
    <x v="0"/>
    <x v="3"/>
    <n v="625"/>
    <n v="10"/>
    <n v="108.302445869038"/>
    <x v="1"/>
  </r>
  <r>
    <s v="1/7/2023"/>
    <d v="2023-01-07T00:00:00"/>
    <s v="Saturday"/>
    <x v="0"/>
    <x v="0"/>
    <x v="4"/>
    <n v="164.48164928419999"/>
    <n v="9"/>
    <n v="235.411022894399"/>
    <x v="2"/>
  </r>
  <r>
    <s v="1/8/2023"/>
    <d v="2023-01-08T00:00:00"/>
    <s v="Sunday"/>
    <x v="0"/>
    <x v="0"/>
    <x v="0"/>
    <n v="393.35524127899998"/>
    <n v="17"/>
    <n v="69.290452181311196"/>
    <x v="3"/>
  </r>
  <r>
    <s v="1/8/2023"/>
    <d v="2023-01-08T00:00:00"/>
    <s v="Sunday"/>
    <x v="0"/>
    <x v="0"/>
    <x v="1"/>
    <n v="994.43475864657"/>
    <n v="17"/>
    <n v="143.622312998724"/>
    <x v="3"/>
  </r>
  <r>
    <s v="1/8/2023"/>
    <d v="2023-01-08T00:00:00"/>
    <s v="Sunday"/>
    <x v="0"/>
    <x v="0"/>
    <x v="2"/>
    <n v="497.94861342933001"/>
    <n v="17"/>
    <n v="89.647832179999995"/>
    <x v="2"/>
  </r>
  <r>
    <s v="1/8/2023"/>
    <d v="2023-01-08T00:00:00"/>
    <s v="Sunday"/>
    <x v="0"/>
    <x v="0"/>
    <x v="3"/>
    <n v="82.245392695600003"/>
    <n v="5"/>
    <n v="163.27406795481301"/>
    <x v="0"/>
  </r>
  <r>
    <s v="1/8/2023"/>
    <d v="2023-01-08T00:00:00"/>
    <s v="Sunday"/>
    <x v="0"/>
    <x v="0"/>
    <x v="4"/>
    <n v="11.181191329420001"/>
    <n v="19"/>
    <n v="304.57096761255099"/>
    <x v="0"/>
  </r>
  <r>
    <s v="1/9/2023"/>
    <d v="2023-01-09T00:00:00"/>
    <s v="Monday"/>
    <x v="0"/>
    <x v="0"/>
    <x v="0"/>
    <n v="111.94628925599"/>
    <n v="0"/>
    <n v="136.92343580350101"/>
    <x v="3"/>
  </r>
  <r>
    <s v="1/9/2023"/>
    <d v="2023-01-09T00:00:00"/>
    <s v="Monday"/>
    <x v="0"/>
    <x v="0"/>
    <x v="1"/>
    <n v="997.78595516628002"/>
    <n v="17"/>
    <n v="317.759808959184"/>
    <x v="3"/>
  </r>
  <r>
    <s v="1/9/2023"/>
    <d v="2023-01-09T00:00:00"/>
    <s v="Monday"/>
    <x v="0"/>
    <x v="0"/>
    <x v="2"/>
    <n v="116.84794911681"/>
    <n v="11"/>
    <n v="381.78457825162297"/>
    <x v="3"/>
  </r>
  <r>
    <s v="1/9/2023"/>
    <d v="2023-01-09T00:00:00"/>
    <s v="Monday"/>
    <x v="0"/>
    <x v="0"/>
    <x v="3"/>
    <n v="993.43573769836996"/>
    <n v="10"/>
    <n v="144.262032111851"/>
    <x v="1"/>
  </r>
  <r>
    <s v="1/9/2023"/>
    <d v="2023-01-09T00:00:00"/>
    <s v="Monday"/>
    <x v="0"/>
    <x v="0"/>
    <x v="4"/>
    <n v="1511.9814861353"/>
    <n v="19"/>
    <n v="473.77162667959499"/>
    <x v="1"/>
  </r>
  <r>
    <s v="1/10/2023"/>
    <d v="2023-01-10T00:00:00"/>
    <s v="Tuesday"/>
    <x v="0"/>
    <x v="0"/>
    <x v="0"/>
    <n v="836.92212288292001"/>
    <n v="19"/>
    <n v="258.22066110469001"/>
    <x v="1"/>
  </r>
  <r>
    <s v="1/10/2023"/>
    <d v="2023-01-10T00:00:00"/>
    <s v="Tuesday"/>
    <x v="0"/>
    <x v="0"/>
    <x v="1"/>
    <n v="116.98971460999999"/>
    <n v="7"/>
    <n v="442.32526169399398"/>
    <x v="0"/>
  </r>
  <r>
    <s v="1/10/2023"/>
    <d v="2023-01-10T00:00:00"/>
    <s v="Tuesday"/>
    <x v="0"/>
    <x v="0"/>
    <x v="2"/>
    <n v="725.59272621616003"/>
    <n v="11"/>
    <n v="146.801850533475"/>
    <x v="0"/>
  </r>
  <r>
    <s v="1/10/2023"/>
    <d v="2023-01-10T00:00:00"/>
    <s v="Tuesday"/>
    <x v="0"/>
    <x v="0"/>
    <x v="3"/>
    <n v="161.69542200000001"/>
    <n v="10"/>
    <n v="188.32610806224301"/>
    <x v="3"/>
  </r>
  <r>
    <s v="1/10/2023"/>
    <d v="2023-01-10T00:00:00"/>
    <s v="Tuesday"/>
    <x v="0"/>
    <x v="0"/>
    <x v="4"/>
    <n v="566.95499449112799"/>
    <n v="16"/>
    <n v="195.69396185304501"/>
    <x v="0"/>
  </r>
  <r>
    <s v="1/11/2023"/>
    <d v="2023-01-11T00:00:00"/>
    <s v="Wednesday"/>
    <x v="0"/>
    <x v="0"/>
    <x v="0"/>
    <n v="486.84112644249001"/>
    <n v="1"/>
    <n v="62.2819895503103"/>
    <x v="3"/>
  </r>
  <r>
    <s v="1/11/2023"/>
    <d v="2023-01-11T00:00:00"/>
    <s v="Wednesday"/>
    <x v="0"/>
    <x v="0"/>
    <x v="1"/>
    <n v="135.69354756879"/>
    <n v="5"/>
    <n v="383.33650633242701"/>
    <x v="1"/>
  </r>
  <r>
    <s v="1/11/2023"/>
    <d v="2023-01-11T00:00:00"/>
    <s v="Wednesday"/>
    <x v="0"/>
    <x v="0"/>
    <x v="2"/>
    <n v="819.58826328481996"/>
    <n v="19"/>
    <n v="260.45188918274499"/>
    <x v="1"/>
  </r>
  <r>
    <s v="1/11/2023"/>
    <d v="2023-01-11T00:00:00"/>
    <s v="Wednesday"/>
    <x v="0"/>
    <x v="0"/>
    <x v="3"/>
    <n v="746.15692945599994"/>
    <n v="1"/>
    <n v="218.291274312724"/>
    <x v="1"/>
  </r>
  <r>
    <s v="1/11/2023"/>
    <d v="2023-01-11T00:00:00"/>
    <s v="Wednesday"/>
    <x v="0"/>
    <x v="0"/>
    <x v="4"/>
    <n v="1256.19933594847"/>
    <n v="16"/>
    <n v="163.86047902463901"/>
    <x v="1"/>
  </r>
  <r>
    <s v="1/12/2023"/>
    <d v="2023-01-12T00:00:00"/>
    <s v="Thursday"/>
    <x v="0"/>
    <x v="0"/>
    <x v="0"/>
    <n v="1536.5781571976299"/>
    <n v="18"/>
    <n v="227.78605751265599"/>
    <x v="2"/>
  </r>
  <r>
    <s v="1/12/2023"/>
    <d v="2023-01-12T00:00:00"/>
    <s v="Thursday"/>
    <x v="0"/>
    <x v="0"/>
    <x v="1"/>
    <n v="136.162931958287"/>
    <n v="9"/>
    <n v="20.802642658843599"/>
    <x v="3"/>
  </r>
  <r>
    <s v="1/12/2023"/>
    <d v="2023-01-12T00:00:00"/>
    <s v="Thursday"/>
    <x v="0"/>
    <x v="0"/>
    <x v="2"/>
    <n v="759.46749624999995"/>
    <n v="1"/>
    <n v="188.37118852136001"/>
    <x v="3"/>
  </r>
  <r>
    <s v="1/12/2023"/>
    <d v="2023-01-12T00:00:00"/>
    <s v="Thursday"/>
    <x v="0"/>
    <x v="0"/>
    <x v="3"/>
    <n v="123.9932797923"/>
    <n v="7"/>
    <n v="389.34096579999999"/>
    <x v="3"/>
  </r>
  <r>
    <s v="1/12/2023"/>
    <d v="2023-01-12T00:00:00"/>
    <s v="Thursday"/>
    <x v="0"/>
    <x v="0"/>
    <x v="4"/>
    <n v="849.22161818129996"/>
    <n v="1"/>
    <n v="362.74746579124502"/>
    <x v="1"/>
  </r>
  <r>
    <s v="1/13/2023"/>
    <d v="2023-01-13T00:00:00"/>
    <s v="Friday"/>
    <x v="0"/>
    <x v="0"/>
    <x v="0"/>
    <n v="589"/>
    <n v="14"/>
    <n v="163.140892452023"/>
    <x v="2"/>
  </r>
  <r>
    <s v="1/13/2023"/>
    <d v="2023-01-13T00:00:00"/>
    <s v="Friday"/>
    <x v="0"/>
    <x v="0"/>
    <x v="1"/>
    <n v="768.46577515221998"/>
    <n v="13"/>
    <n v="189.05998327714701"/>
    <x v="3"/>
  </r>
  <r>
    <s v="1/13/2023"/>
    <d v="2023-01-13T00:00:00"/>
    <s v="Friday"/>
    <x v="0"/>
    <x v="0"/>
    <x v="2"/>
    <n v="1362.8145912599"/>
    <n v="1"/>
    <n v="372.14536862826401"/>
    <x v="3"/>
  </r>
  <r>
    <s v="1/13/2023"/>
    <d v="2023-01-13T00:00:00"/>
    <s v="Friday"/>
    <x v="0"/>
    <x v="0"/>
    <x v="3"/>
    <n v="1161.3881175900001"/>
    <n v="1"/>
    <n v="184.16465910947301"/>
    <x v="0"/>
  </r>
  <r>
    <s v="1/13/2023"/>
    <d v="2023-01-13T00:00:00"/>
    <s v="Friday"/>
    <x v="0"/>
    <x v="0"/>
    <x v="4"/>
    <n v="1835.18141394695"/>
    <n v="17"/>
    <n v="207.524390845211"/>
    <x v="3"/>
  </r>
  <r>
    <s v="1/14/2023"/>
    <d v="2023-01-14T00:00:00"/>
    <s v="Saturday"/>
    <x v="0"/>
    <x v="0"/>
    <x v="0"/>
    <n v="99.643965499459995"/>
    <n v="14"/>
    <n v="370.95586092322299"/>
    <x v="1"/>
  </r>
  <r>
    <s v="1/14/2023"/>
    <d v="2023-01-14T00:00:00"/>
    <s v="Saturday"/>
    <x v="0"/>
    <x v="0"/>
    <x v="1"/>
    <n v="1181.8388892972"/>
    <n v="3"/>
    <n v="465.762054269521"/>
    <x v="3"/>
  </r>
  <r>
    <s v="1/14/2023"/>
    <d v="2023-01-14T00:00:00"/>
    <s v="Saturday"/>
    <x v="0"/>
    <x v="0"/>
    <x v="2"/>
    <n v="416.73112187511998"/>
    <n v="1"/>
    <n v="81.294491014218394"/>
    <x v="3"/>
  </r>
  <r>
    <s v="1/14/2023"/>
    <d v="2023-01-14T00:00:00"/>
    <s v="Saturday"/>
    <x v="0"/>
    <x v="0"/>
    <x v="3"/>
    <n v="597.57895616149995"/>
    <n v="3"/>
    <n v="161.95486180431999"/>
    <x v="3"/>
  </r>
  <r>
    <s v="1/14/2023"/>
    <d v="2023-01-14T00:00:00"/>
    <s v="Saturday"/>
    <x v="0"/>
    <x v="0"/>
    <x v="4"/>
    <n v="513"/>
    <n v="18"/>
    <n v="146.08947735729899"/>
    <x v="2"/>
  </r>
  <r>
    <s v="1/15/2023"/>
    <d v="2023-01-15T00:00:00"/>
    <s v="Sunday"/>
    <x v="0"/>
    <x v="0"/>
    <x v="0"/>
    <n v="68.297337876719993"/>
    <n v="10"/>
    <n v="220.93844629734701"/>
    <x v="0"/>
  </r>
  <r>
    <s v="1/15/2023"/>
    <d v="2023-01-15T00:00:00"/>
    <s v="Sunday"/>
    <x v="0"/>
    <x v="0"/>
    <x v="1"/>
    <n v="774.77144779698006"/>
    <n v="8"/>
    <n v="239.48551299443901"/>
    <x v="1"/>
  </r>
  <r>
    <s v="1/15/2023"/>
    <d v="2023-01-15T00:00:00"/>
    <s v="Sunday"/>
    <x v="0"/>
    <x v="0"/>
    <x v="2"/>
    <n v="1135"/>
    <n v="10"/>
    <n v="389.06423499280902"/>
    <x v="1"/>
  </r>
  <r>
    <s v="1/15/2023"/>
    <d v="2023-01-15T00:00:00"/>
    <s v="Sunday"/>
    <x v="0"/>
    <x v="0"/>
    <x v="3"/>
    <n v="1533.6773316578001"/>
    <n v="10"/>
    <n v="552.31047087947104"/>
    <x v="0"/>
  </r>
  <r>
    <s v="1/15/2023"/>
    <d v="2023-01-15T00:00:00"/>
    <s v="Sunday"/>
    <x v="0"/>
    <x v="0"/>
    <x v="4"/>
    <n v="645.23135636740005"/>
    <n v="8"/>
    <n v="200.33689994039"/>
    <x v="3"/>
  </r>
  <r>
    <s v="1/16/2023"/>
    <d v="2023-01-16T00:00:00"/>
    <s v="Monday"/>
    <x v="0"/>
    <x v="0"/>
    <x v="0"/>
    <n v="1148.4986962574999"/>
    <n v="14"/>
    <n v="421.50086204765802"/>
    <x v="1"/>
  </r>
  <r>
    <s v="1/16/2023"/>
    <d v="2023-01-16T00:00:00"/>
    <s v="Monday"/>
    <x v="0"/>
    <x v="0"/>
    <x v="1"/>
    <n v="12.5537533114"/>
    <n v="19"/>
    <n v="244.59412160742599"/>
    <x v="1"/>
  </r>
  <r>
    <s v="1/16/2023"/>
    <d v="2023-01-16T00:00:00"/>
    <s v="Monday"/>
    <x v="0"/>
    <x v="0"/>
    <x v="2"/>
    <n v="877.17735828532"/>
    <n v="17"/>
    <n v="97.546030662437204"/>
    <x v="2"/>
  </r>
  <r>
    <s v="1/16/2023"/>
    <d v="2023-01-16T00:00:00"/>
    <s v="Monday"/>
    <x v="0"/>
    <x v="0"/>
    <x v="3"/>
    <n v="116.32587553589001"/>
    <n v="5"/>
    <n v="283.96395710000002"/>
    <x v="0"/>
  </r>
  <r>
    <s v="1/16/2023"/>
    <d v="2023-01-16T00:00:00"/>
    <s v="Monday"/>
    <x v="0"/>
    <x v="0"/>
    <x v="4"/>
    <n v="435.96223464232997"/>
    <n v="12"/>
    <n v="169.81840636969699"/>
    <x v="1"/>
  </r>
  <r>
    <s v="1/17/2023"/>
    <d v="2023-01-17T00:00:00"/>
    <s v="Tuesday"/>
    <x v="0"/>
    <x v="0"/>
    <x v="0"/>
    <n v="1716.7178721773"/>
    <n v="8"/>
    <n v="545.61772625387596"/>
    <x v="4"/>
  </r>
  <r>
    <s v="1/17/2023"/>
    <d v="2023-01-17T00:00:00"/>
    <s v="Tuesday"/>
    <x v="0"/>
    <x v="0"/>
    <x v="1"/>
    <n v="1553"/>
    <n v="18"/>
    <n v="395.85048213354401"/>
    <x v="2"/>
  </r>
  <r>
    <s v="1/17/2023"/>
    <d v="2023-01-17T00:00:00"/>
    <s v="Tuesday"/>
    <x v="0"/>
    <x v="0"/>
    <x v="2"/>
    <n v="967.84165745166194"/>
    <n v="19"/>
    <n v="224.24061396206201"/>
    <x v="1"/>
  </r>
  <r>
    <s v="1/17/2023"/>
    <d v="2023-01-17T00:00:00"/>
    <s v="Tuesday"/>
    <x v="0"/>
    <x v="0"/>
    <x v="3"/>
    <n v="854.13481427462"/>
    <n v="5"/>
    <n v="132.64722403425"/>
    <x v="2"/>
  </r>
  <r>
    <s v="1/17/2023"/>
    <d v="2023-01-17T00:00:00"/>
    <s v="Tuesday"/>
    <x v="0"/>
    <x v="0"/>
    <x v="4"/>
    <n v="1151.49618369413"/>
    <n v="1"/>
    <n v="175.01394283464799"/>
    <x v="0"/>
  </r>
  <r>
    <s v="1/18/2023"/>
    <d v="2023-01-18T00:00:00"/>
    <s v="Wednesday"/>
    <x v="0"/>
    <x v="0"/>
    <x v="0"/>
    <n v="1259.7265582513"/>
    <n v="15"/>
    <n v="220.54394327459801"/>
    <x v="2"/>
  </r>
  <r>
    <s v="1/18/2023"/>
    <d v="2023-01-18T00:00:00"/>
    <s v="Wednesday"/>
    <x v="0"/>
    <x v="0"/>
    <x v="1"/>
    <n v="155.15665432285999"/>
    <n v="7"/>
    <n v="313.52228270000001"/>
    <x v="0"/>
  </r>
  <r>
    <s v="1/18/2023"/>
    <d v="2023-01-18T00:00:00"/>
    <s v="Wednesday"/>
    <x v="0"/>
    <x v="0"/>
    <x v="2"/>
    <n v="1173.3691452964999"/>
    <n v="3"/>
    <n v="204.54088352302401"/>
    <x v="4"/>
  </r>
  <r>
    <s v="1/18/2023"/>
    <d v="2023-01-18T00:00:00"/>
    <s v="Wednesday"/>
    <x v="0"/>
    <x v="0"/>
    <x v="3"/>
    <n v="795.99869976461696"/>
    <n v="15"/>
    <n v="89.325892083122795"/>
    <x v="2"/>
  </r>
  <r>
    <s v="1/18/2023"/>
    <d v="2023-01-18T00:00:00"/>
    <s v="Wednesday"/>
    <x v="0"/>
    <x v="0"/>
    <x v="4"/>
    <n v="92.978246539818002"/>
    <n v="5"/>
    <n v="223.108959154356"/>
    <x v="2"/>
  </r>
  <r>
    <s v="1/19/2023"/>
    <d v="2023-01-19T00:00:00"/>
    <s v="Thursday"/>
    <x v="0"/>
    <x v="0"/>
    <x v="0"/>
    <n v="129.72771455799"/>
    <n v="4"/>
    <n v="183.830902128823"/>
    <x v="2"/>
  </r>
  <r>
    <s v="1/19/2023"/>
    <d v="2023-01-19T00:00:00"/>
    <s v="Thursday"/>
    <x v="0"/>
    <x v="0"/>
    <x v="1"/>
    <n v="1179.9689911329999"/>
    <n v="5"/>
    <n v="259.06386771200101"/>
    <x v="2"/>
  </r>
  <r>
    <s v="1/19/2023"/>
    <d v="2023-01-19T00:00:00"/>
    <s v="Thursday"/>
    <x v="0"/>
    <x v="0"/>
    <x v="2"/>
    <n v="1.544833584"/>
    <n v="5"/>
    <n v="305.355179146686"/>
    <x v="3"/>
  </r>
  <r>
    <s v="1/19/2023"/>
    <d v="2023-01-19T00:00:00"/>
    <s v="Thursday"/>
    <x v="0"/>
    <x v="0"/>
    <x v="3"/>
    <n v="1226.7858453749"/>
    <n v="16"/>
    <n v="359.11030774457902"/>
    <x v="0"/>
  </r>
  <r>
    <s v="1/19/2023"/>
    <d v="2023-01-19T00:00:00"/>
    <s v="Thursday"/>
    <x v="0"/>
    <x v="0"/>
    <x v="4"/>
    <n v="113.22439426"/>
    <n v="12"/>
    <n v="238.793142909887"/>
    <x v="3"/>
  </r>
  <r>
    <s v="1/20/2023"/>
    <d v="2023-01-20T00:00:00"/>
    <s v="Friday"/>
    <x v="0"/>
    <x v="0"/>
    <x v="0"/>
    <n v="1277.86976286551"/>
    <n v="1"/>
    <n v="303.46323003799898"/>
    <x v="1"/>
  </r>
  <r>
    <s v="1/20/2023"/>
    <d v="2023-01-20T00:00:00"/>
    <s v="Friday"/>
    <x v="0"/>
    <x v="0"/>
    <x v="1"/>
    <n v="1133.88684457"/>
    <n v="1"/>
    <n v="440.35306949034299"/>
    <x v="2"/>
  </r>
  <r>
    <s v="1/20/2023"/>
    <d v="2023-01-20T00:00:00"/>
    <s v="Friday"/>
    <x v="0"/>
    <x v="0"/>
    <x v="2"/>
    <n v="134.87269513576999"/>
    <n v="11"/>
    <n v="212.84656549016199"/>
    <x v="0"/>
  </r>
  <r>
    <s v="1/20/2023"/>
    <d v="2023-01-20T00:00:00"/>
    <s v="Friday"/>
    <x v="0"/>
    <x v="0"/>
    <x v="3"/>
    <n v="836.48871539587196"/>
    <n v="19"/>
    <n v="238.79759078908"/>
    <x v="1"/>
  </r>
  <r>
    <s v="1/20/2023"/>
    <d v="2023-01-20T00:00:00"/>
    <s v="Friday"/>
    <x v="0"/>
    <x v="0"/>
    <x v="4"/>
    <n v="619.78539546298998"/>
    <n v="17"/>
    <n v="183.90070791842001"/>
    <x v="0"/>
  </r>
  <r>
    <s v="1/21/2023"/>
    <d v="2023-01-21T00:00:00"/>
    <s v="Saturday"/>
    <x v="0"/>
    <x v="0"/>
    <x v="0"/>
    <n v="823.19572916736001"/>
    <n v="4"/>
    <n v="253.43330069370299"/>
    <x v="2"/>
  </r>
  <r>
    <s v="1/21/2023"/>
    <d v="2023-01-21T00:00:00"/>
    <s v="Saturday"/>
    <x v="0"/>
    <x v="0"/>
    <x v="1"/>
    <n v="1254.88629163"/>
    <n v="13"/>
    <n v="478.102549526215"/>
    <x v="3"/>
  </r>
  <r>
    <s v="1/21/2023"/>
    <d v="2023-01-21T00:00:00"/>
    <s v="Saturday"/>
    <x v="0"/>
    <x v="0"/>
    <x v="2"/>
    <n v="781.46151349589695"/>
    <n v="4"/>
    <n v="190.5987762"/>
    <x v="0"/>
  </r>
  <r>
    <s v="1/21/2023"/>
    <d v="2023-01-21T00:00:00"/>
    <s v="Saturday"/>
    <x v="0"/>
    <x v="0"/>
    <x v="3"/>
    <n v="1188.8886525778"/>
    <n v="3"/>
    <n v="472.16896235086398"/>
    <x v="3"/>
  </r>
  <r>
    <s v="1/21/2023"/>
    <d v="2023-01-21T00:00:00"/>
    <s v="Saturday"/>
    <x v="0"/>
    <x v="0"/>
    <x v="4"/>
    <n v="89"/>
    <n v="5"/>
    <n v="152.64894039999999"/>
    <x v="1"/>
  </r>
  <r>
    <s v="1/22/2023"/>
    <d v="2023-01-22T00:00:00"/>
    <s v="Sunday"/>
    <x v="0"/>
    <x v="0"/>
    <x v="0"/>
    <n v="835.68295511221004"/>
    <n v="13"/>
    <n v="269.06703734444"/>
    <x v="1"/>
  </r>
  <r>
    <s v="1/22/2023"/>
    <d v="2023-01-22T00:00:00"/>
    <s v="Sunday"/>
    <x v="0"/>
    <x v="0"/>
    <x v="1"/>
    <n v="1391.6436421462899"/>
    <n v="13"/>
    <n v="513.03912641394902"/>
    <x v="0"/>
  </r>
  <r>
    <s v="1/22/2023"/>
    <d v="2023-01-22T00:00:00"/>
    <s v="Sunday"/>
    <x v="0"/>
    <x v="0"/>
    <x v="2"/>
    <n v="16.311524898199998"/>
    <n v="4"/>
    <n v="103.901897601454"/>
    <x v="0"/>
  </r>
  <r>
    <s v="1/22/2023"/>
    <d v="2023-01-22T00:00:00"/>
    <s v="Sunday"/>
    <x v="0"/>
    <x v="0"/>
    <x v="3"/>
    <n v="876.61282282549996"/>
    <n v="14"/>
    <n v="265.640835171665"/>
    <x v="3"/>
  </r>
  <r>
    <s v="1/22/2023"/>
    <d v="2023-01-22T00:00:00"/>
    <s v="Sunday"/>
    <x v="0"/>
    <x v="0"/>
    <x v="4"/>
    <n v="1295.276336892"/>
    <n v="19"/>
    <n v="321.091800647338"/>
    <x v="3"/>
  </r>
  <r>
    <s v="1/23/2023"/>
    <d v="2023-01-23T00:00:00"/>
    <s v="Monday"/>
    <x v="0"/>
    <x v="0"/>
    <x v="0"/>
    <n v="462.38646995943498"/>
    <n v="4"/>
    <n v="177.49091336932699"/>
    <x v="3"/>
  </r>
  <r>
    <s v="1/23/2023"/>
    <d v="2023-01-23T00:00:00"/>
    <s v="Monday"/>
    <x v="0"/>
    <x v="0"/>
    <x v="1"/>
    <n v="865.96794646326998"/>
    <n v="7"/>
    <n v="110.291263174893"/>
    <x v="2"/>
  </r>
  <r>
    <s v="1/23/2023"/>
    <d v="2023-01-23T00:00:00"/>
    <s v="Monday"/>
    <x v="0"/>
    <x v="0"/>
    <x v="2"/>
    <n v="1544.9997276367001"/>
    <n v="15"/>
    <n v="220.64803298533101"/>
    <x v="2"/>
  </r>
  <r>
    <s v="1/23/2023"/>
    <d v="2023-01-23T00:00:00"/>
    <s v="Monday"/>
    <x v="0"/>
    <x v="0"/>
    <x v="3"/>
    <n v="1121.37486853525"/>
    <n v="12"/>
    <n v="403.76292099010698"/>
    <x v="4"/>
  </r>
  <r>
    <s v="1/23/2023"/>
    <d v="2023-01-23T00:00:00"/>
    <s v="Monday"/>
    <x v="0"/>
    <x v="0"/>
    <x v="4"/>
    <n v="173.48997133261"/>
    <n v="10"/>
    <n v="235.089452176533"/>
    <x v="1"/>
  </r>
  <r>
    <s v="1/24/2023"/>
    <d v="2023-01-24T00:00:00"/>
    <s v="Tuesday"/>
    <x v="0"/>
    <x v="0"/>
    <x v="0"/>
    <n v="847.91747388660997"/>
    <n v="2"/>
    <n v="105.48481010603"/>
    <x v="0"/>
  </r>
  <r>
    <s v="1/24/2023"/>
    <d v="2023-01-24T00:00:00"/>
    <s v="Tuesday"/>
    <x v="0"/>
    <x v="0"/>
    <x v="1"/>
    <n v="1133.6527384410001"/>
    <n v="13"/>
    <n v="239.418978256673"/>
    <x v="3"/>
  </r>
  <r>
    <s v="1/24/2023"/>
    <d v="2023-01-24T00:00:00"/>
    <s v="Tuesday"/>
    <x v="0"/>
    <x v="0"/>
    <x v="2"/>
    <n v="561.47331892830005"/>
    <n v="17"/>
    <n v="215.703651372075"/>
    <x v="0"/>
  </r>
  <r>
    <s v="1/24/2023"/>
    <d v="2023-01-24T00:00:00"/>
    <s v="Tuesday"/>
    <x v="0"/>
    <x v="0"/>
    <x v="3"/>
    <n v="477.14425836471997"/>
    <n v="19"/>
    <n v="158.91452955116"/>
    <x v="2"/>
  </r>
  <r>
    <s v="1/24/2023"/>
    <d v="2023-01-24T00:00:00"/>
    <s v="Tuesday"/>
    <x v="0"/>
    <x v="0"/>
    <x v="4"/>
    <n v="132.84338561225999"/>
    <n v="7"/>
    <n v="300.18358904472899"/>
    <x v="2"/>
  </r>
  <r>
    <s v="1/25/2023"/>
    <d v="2023-01-25T00:00:00"/>
    <s v="Wednesday"/>
    <x v="0"/>
    <x v="0"/>
    <x v="0"/>
    <n v="782.69986139587002"/>
    <n v="13"/>
    <n v="80.935934995325994"/>
    <x v="3"/>
  </r>
  <r>
    <s v="1/25/2023"/>
    <d v="2023-01-25T00:00:00"/>
    <s v="Wednesday"/>
    <x v="0"/>
    <x v="0"/>
    <x v="1"/>
    <n v="437.26648438170002"/>
    <n v="8"/>
    <n v="59.143724790455202"/>
    <x v="0"/>
  </r>
  <r>
    <s v="1/25/2023"/>
    <d v="2023-01-25T00:00:00"/>
    <s v="Wednesday"/>
    <x v="0"/>
    <x v="0"/>
    <x v="2"/>
    <n v="1252.5134778352001"/>
    <n v="17"/>
    <n v="156.34039209206901"/>
    <x v="0"/>
  </r>
  <r>
    <s v="1/25/2023"/>
    <d v="2023-01-25T00:00:00"/>
    <s v="Wednesday"/>
    <x v="0"/>
    <x v="0"/>
    <x v="3"/>
    <n v="134.26752719999999"/>
    <n v="6"/>
    <n v="309.40760638432403"/>
    <x v="2"/>
  </r>
  <r>
    <s v="1/25/2023"/>
    <d v="2023-01-25T00:00:00"/>
    <s v="Wednesday"/>
    <x v="0"/>
    <x v="0"/>
    <x v="4"/>
    <n v="167.22774454312"/>
    <n v="5"/>
    <n v="187.72221236673499"/>
    <x v="1"/>
  </r>
  <r>
    <s v="1/26/2023"/>
    <d v="2023-01-26T00:00:00"/>
    <s v="Thursday"/>
    <x v="0"/>
    <x v="0"/>
    <x v="0"/>
    <n v="13.777722345300001"/>
    <n v="18"/>
    <n v="150.43077621635399"/>
    <x v="0"/>
  </r>
  <r>
    <s v="1/26/2023"/>
    <d v="2023-01-26T00:00:00"/>
    <s v="Thursday"/>
    <x v="0"/>
    <x v="0"/>
    <x v="1"/>
    <n v="87.417339517488003"/>
    <n v="3"/>
    <n v="322.35680134467998"/>
    <x v="0"/>
  </r>
  <r>
    <s v="1/26/2023"/>
    <d v="2023-01-26T00:00:00"/>
    <s v="Thursday"/>
    <x v="0"/>
    <x v="0"/>
    <x v="2"/>
    <n v="1557.9911946699999"/>
    <n v="11"/>
    <n v="287.12037071337602"/>
    <x v="3"/>
  </r>
  <r>
    <s v="1/26/2023"/>
    <d v="2023-01-26T00:00:00"/>
    <s v="Thursday"/>
    <x v="0"/>
    <x v="0"/>
    <x v="3"/>
    <n v="957"/>
    <n v="8"/>
    <n v="144.41736734595099"/>
    <x v="3"/>
  </r>
  <r>
    <s v="1/26/2023"/>
    <d v="2023-01-26T00:00:00"/>
    <s v="Thursday"/>
    <x v="0"/>
    <x v="0"/>
    <x v="4"/>
    <n v="849.22161818129996"/>
    <n v="8"/>
    <n v="168.88727776491001"/>
    <x v="2"/>
  </r>
  <r>
    <s v="1/27/2023"/>
    <d v="2023-01-27T00:00:00"/>
    <s v="Friday"/>
    <x v="0"/>
    <x v="0"/>
    <x v="0"/>
    <n v="76.529434595400005"/>
    <n v="4"/>
    <n v="301.06563342491"/>
    <x v="2"/>
  </r>
  <r>
    <s v="1/27/2023"/>
    <d v="2023-01-27T00:00:00"/>
    <s v="Friday"/>
    <x v="0"/>
    <x v="0"/>
    <x v="1"/>
    <n v="598.64655285748597"/>
    <n v="17"/>
    <n v="110.10849304035099"/>
    <x v="0"/>
  </r>
  <r>
    <s v="1/27/2023"/>
    <d v="2023-01-27T00:00:00"/>
    <s v="Friday"/>
    <x v="0"/>
    <x v="0"/>
    <x v="2"/>
    <n v="1171.44253983"/>
    <n v="13"/>
    <n v="437.25961876341501"/>
    <x v="0"/>
  </r>
  <r>
    <s v="1/27/2023"/>
    <d v="2023-01-27T00:00:00"/>
    <s v="Friday"/>
    <x v="0"/>
    <x v="0"/>
    <x v="3"/>
    <n v="746.15692945599994"/>
    <n v="6"/>
    <n v="497.01799819664001"/>
    <x v="3"/>
  </r>
  <r>
    <s v="1/27/2023"/>
    <d v="2023-01-27T00:00:00"/>
    <s v="Friday"/>
    <x v="0"/>
    <x v="0"/>
    <x v="4"/>
    <n v="1234.82549326"/>
    <n v="10"/>
    <n v="468.72743830254802"/>
    <x v="2"/>
  </r>
  <r>
    <s v="1/28/2023"/>
    <d v="2023-01-28T00:00:00"/>
    <s v="Saturday"/>
    <x v="0"/>
    <x v="0"/>
    <x v="0"/>
    <n v="145.32398864581"/>
    <n v="13"/>
    <n v="156.22396105974599"/>
    <x v="3"/>
  </r>
  <r>
    <s v="1/28/2023"/>
    <d v="2023-01-28T00:00:00"/>
    <s v="Saturday"/>
    <x v="0"/>
    <x v="0"/>
    <x v="1"/>
    <n v="1353.8323621638001"/>
    <n v="15"/>
    <n v="196.4749654"/>
    <x v="0"/>
  </r>
  <r>
    <s v="1/28/2023"/>
    <d v="2023-01-28T00:00:00"/>
    <s v="Saturday"/>
    <x v="0"/>
    <x v="0"/>
    <x v="2"/>
    <n v="859.24734368587997"/>
    <n v="17"/>
    <n v="302.024234346215"/>
    <x v="2"/>
  </r>
  <r>
    <s v="1/28/2023"/>
    <d v="2023-01-28T00:00:00"/>
    <s v="Saturday"/>
    <x v="0"/>
    <x v="0"/>
    <x v="3"/>
    <n v="746.15692945599994"/>
    <n v="5"/>
    <n v="439.98222482613397"/>
    <x v="4"/>
  </r>
  <r>
    <s v="1/28/2023"/>
    <d v="2023-01-28T00:00:00"/>
    <s v="Saturday"/>
    <x v="0"/>
    <x v="0"/>
    <x v="4"/>
    <n v="1573.4588819528201"/>
    <n v="5"/>
    <n v="500.10227563806302"/>
    <x v="2"/>
  </r>
  <r>
    <s v="1/29/2023"/>
    <d v="2023-01-29T00:00:00"/>
    <s v="Sunday"/>
    <x v="0"/>
    <x v="0"/>
    <x v="0"/>
    <n v="865"/>
    <n v="14"/>
    <n v="139.70609038717799"/>
    <x v="0"/>
  </r>
  <r>
    <s v="1/29/2023"/>
    <d v="2023-01-29T00:00:00"/>
    <s v="Sunday"/>
    <x v="0"/>
    <x v="0"/>
    <x v="1"/>
    <n v="1186.8549797424"/>
    <n v="19"/>
    <n v="216.50553838541401"/>
    <x v="3"/>
  </r>
  <r>
    <s v="1/29/2023"/>
    <d v="2023-01-29T00:00:00"/>
    <s v="Sunday"/>
    <x v="0"/>
    <x v="0"/>
    <x v="2"/>
    <n v="1213.4844634266601"/>
    <n v="2"/>
    <n v="251.735914456122"/>
    <x v="3"/>
  </r>
  <r>
    <s v="1/29/2023"/>
    <d v="2023-01-29T00:00:00"/>
    <s v="Sunday"/>
    <x v="0"/>
    <x v="0"/>
    <x v="3"/>
    <n v="662.67372448639003"/>
    <n v="7"/>
    <n v="199.75754240646799"/>
    <x v="2"/>
  </r>
  <r>
    <s v="1/29/2023"/>
    <d v="2023-01-29T00:00:00"/>
    <s v="Sunday"/>
    <x v="0"/>
    <x v="0"/>
    <x v="4"/>
    <n v="1382.6389745967999"/>
    <n v="18"/>
    <n v="491.74170419066201"/>
    <x v="2"/>
  </r>
  <r>
    <s v="1/30/2023"/>
    <d v="2023-01-30T00:00:00"/>
    <s v="Monday"/>
    <x v="0"/>
    <x v="0"/>
    <x v="0"/>
    <n v="972.53181854800005"/>
    <n v="12"/>
    <n v="260.91175041210403"/>
    <x v="2"/>
  </r>
  <r>
    <s v="1/30/2023"/>
    <d v="2023-01-30T00:00:00"/>
    <s v="Monday"/>
    <x v="0"/>
    <x v="0"/>
    <x v="1"/>
    <n v="1124.11383998562"/>
    <n v="15"/>
    <n v="254.230410700524"/>
    <x v="0"/>
  </r>
  <r>
    <s v="1/30/2023"/>
    <d v="2023-01-30T00:00:00"/>
    <s v="Monday"/>
    <x v="0"/>
    <x v="0"/>
    <x v="2"/>
    <n v="142.62655129177"/>
    <n v="14"/>
    <n v="436.53094821817501"/>
    <x v="1"/>
  </r>
  <r>
    <s v="1/30/2023"/>
    <d v="2023-01-30T00:00:00"/>
    <s v="Monday"/>
    <x v="0"/>
    <x v="0"/>
    <x v="3"/>
    <n v="17.397389446999998"/>
    <n v="2"/>
    <n v="219.54675986514201"/>
    <x v="2"/>
  </r>
  <r>
    <s v="1/30/2023"/>
    <d v="2023-01-30T00:00:00"/>
    <s v="Monday"/>
    <x v="0"/>
    <x v="0"/>
    <x v="4"/>
    <n v="124.79567668222001"/>
    <n v="18"/>
    <n v="270.087982277452"/>
    <x v="1"/>
  </r>
  <r>
    <s v="1/31/2023"/>
    <d v="2023-01-31T00:00:00"/>
    <s v="Tuesday"/>
    <x v="0"/>
    <x v="0"/>
    <x v="0"/>
    <n v="175.3584916659"/>
    <n v="6"/>
    <n v="253.00296270000001"/>
    <x v="1"/>
  </r>
  <r>
    <s v="1/31/2023"/>
    <d v="2023-01-31T00:00:00"/>
    <s v="Tuesday"/>
    <x v="0"/>
    <x v="0"/>
    <x v="1"/>
    <n v="863.86158352999996"/>
    <n v="10"/>
    <n v="309.87481292285202"/>
    <x v="0"/>
  </r>
  <r>
    <s v="1/31/2023"/>
    <d v="2023-01-31T00:00:00"/>
    <s v="Tuesday"/>
    <x v="0"/>
    <x v="0"/>
    <x v="2"/>
    <n v="941.59892143675597"/>
    <n v="17"/>
    <n v="233.17274337921901"/>
    <x v="3"/>
  </r>
  <r>
    <s v="1/31/2023"/>
    <d v="2023-01-31T00:00:00"/>
    <s v="Tuesday"/>
    <x v="0"/>
    <x v="0"/>
    <x v="3"/>
    <n v="746.15692945599994"/>
    <n v="5"/>
    <n v="561.81928069404103"/>
    <x v="0"/>
  </r>
  <r>
    <s v="1/31/2023"/>
    <d v="2023-01-31T00:00:00"/>
    <s v="Tuesday"/>
    <x v="0"/>
    <x v="0"/>
    <x v="4"/>
    <n v="655.58352815327703"/>
    <n v="11"/>
    <n v="112.789006424075"/>
    <x v="1"/>
  </r>
  <r>
    <s v="2/1/2023"/>
    <d v="2023-02-01T00:00:00"/>
    <s v="Wednesday"/>
    <x v="1"/>
    <x v="0"/>
    <x v="0"/>
    <n v="819.32313913534699"/>
    <n v="15"/>
    <n v="113.610555411551"/>
    <x v="1"/>
  </r>
  <r>
    <s v="2/1/2023"/>
    <d v="2023-02-01T00:00:00"/>
    <s v="Wednesday"/>
    <x v="1"/>
    <x v="0"/>
    <x v="1"/>
    <n v="47.761932997499997"/>
    <n v="16"/>
    <n v="137.586022586913"/>
    <x v="3"/>
  </r>
  <r>
    <s v="2/1/2023"/>
    <d v="2023-02-01T00:00:00"/>
    <s v="Wednesday"/>
    <x v="1"/>
    <x v="0"/>
    <x v="2"/>
    <n v="1449.966627255"/>
    <n v="4"/>
    <n v="295.35846521021301"/>
    <x v="1"/>
  </r>
  <r>
    <s v="2/1/2023"/>
    <d v="2023-02-01T00:00:00"/>
    <s v="Wednesday"/>
    <x v="1"/>
    <x v="0"/>
    <x v="3"/>
    <n v="113.11842528"/>
    <n v="18"/>
    <n v="284.25925515677102"/>
    <x v="1"/>
  </r>
  <r>
    <s v="2/1/2023"/>
    <d v="2023-02-01T00:00:00"/>
    <s v="Wednesday"/>
    <x v="1"/>
    <x v="0"/>
    <x v="4"/>
    <n v="1322.146362962"/>
    <n v="19"/>
    <n v="458.15841562049297"/>
    <x v="2"/>
  </r>
  <r>
    <s v="2/2/2023"/>
    <d v="2023-02-02T00:00:00"/>
    <s v="Thursday"/>
    <x v="1"/>
    <x v="0"/>
    <x v="0"/>
    <n v="755.35278134529995"/>
    <n v="6"/>
    <n v="102.871729433615"/>
    <x v="0"/>
  </r>
  <r>
    <s v="2/2/2023"/>
    <d v="2023-02-02T00:00:00"/>
    <s v="Thursday"/>
    <x v="1"/>
    <x v="0"/>
    <x v="1"/>
    <n v="832.29235200000005"/>
    <n v="12"/>
    <n v="134.74822794149"/>
    <x v="2"/>
  </r>
  <r>
    <s v="2/2/2023"/>
    <d v="2023-02-02T00:00:00"/>
    <s v="Thursday"/>
    <x v="1"/>
    <x v="0"/>
    <x v="2"/>
    <n v="887.61614931559996"/>
    <n v="9"/>
    <n v="113.335341791128"/>
    <x v="1"/>
  </r>
  <r>
    <s v="2/2/2023"/>
    <d v="2023-02-02T00:00:00"/>
    <s v="Thursday"/>
    <x v="1"/>
    <x v="0"/>
    <x v="3"/>
    <n v="754.39694399999996"/>
    <n v="15"/>
    <n v="191.237430581502"/>
    <x v="1"/>
  </r>
  <r>
    <s v="2/2/2023"/>
    <d v="2023-02-02T00:00:00"/>
    <s v="Thursday"/>
    <x v="1"/>
    <x v="0"/>
    <x v="4"/>
    <n v="1255.4627938149999"/>
    <n v="17"/>
    <n v="350.48862443789602"/>
    <x v="3"/>
  </r>
  <r>
    <s v="2/3/2023"/>
    <d v="2023-02-03T00:00:00"/>
    <s v="Friday"/>
    <x v="1"/>
    <x v="0"/>
    <x v="0"/>
    <n v="813.89883239333994"/>
    <n v="15"/>
    <n v="212.40695876411101"/>
    <x v="3"/>
  </r>
  <r>
    <s v="2/3/2023"/>
    <d v="2023-02-03T00:00:00"/>
    <s v="Friday"/>
    <x v="1"/>
    <x v="0"/>
    <x v="1"/>
    <n v="1712.2425232170001"/>
    <n v="14"/>
    <n v="408.81573510289002"/>
    <x v="0"/>
  </r>
  <r>
    <s v="2/3/2023"/>
    <d v="2023-02-03T00:00:00"/>
    <s v="Friday"/>
    <x v="1"/>
    <x v="0"/>
    <x v="2"/>
    <n v="96.782726148410006"/>
    <n v="14"/>
    <n v="130.86844877145199"/>
    <x v="1"/>
  </r>
  <r>
    <s v="2/3/2023"/>
    <d v="2023-02-03T00:00:00"/>
    <s v="Friday"/>
    <x v="1"/>
    <x v="0"/>
    <x v="3"/>
    <n v="1172.9678891671999"/>
    <n v="14"/>
    <n v="381.07925973082502"/>
    <x v="3"/>
  </r>
  <r>
    <s v="2/3/2023"/>
    <d v="2023-02-03T00:00:00"/>
    <s v="Friday"/>
    <x v="1"/>
    <x v="0"/>
    <x v="4"/>
    <n v="193.37546363600001"/>
    <n v="13"/>
    <n v="393.79487067810101"/>
    <x v="2"/>
  </r>
  <r>
    <s v="2/4/2023"/>
    <d v="2023-02-04T00:00:00"/>
    <s v="Saturday"/>
    <x v="1"/>
    <x v="0"/>
    <x v="0"/>
    <n v="518.66139227279996"/>
    <n v="5"/>
    <n v="80.137140011261906"/>
    <x v="1"/>
  </r>
  <r>
    <s v="2/4/2023"/>
    <d v="2023-02-04T00:00:00"/>
    <s v="Saturday"/>
    <x v="1"/>
    <x v="0"/>
    <x v="1"/>
    <n v="161.39976160000001"/>
    <n v="17"/>
    <n v="173.410289402015"/>
    <x v="2"/>
  </r>
  <r>
    <s v="2/4/2023"/>
    <d v="2023-02-04T00:00:00"/>
    <s v="Saturday"/>
    <x v="1"/>
    <x v="0"/>
    <x v="2"/>
    <n v="531.84822568519803"/>
    <n v="13"/>
    <n v="147.89515052937301"/>
    <x v="3"/>
  </r>
  <r>
    <s v="2/4/2023"/>
    <d v="2023-02-04T00:00:00"/>
    <s v="Saturday"/>
    <x v="1"/>
    <x v="0"/>
    <x v="3"/>
    <n v="162.6838932"/>
    <n v="10"/>
    <n v="357.63225962936099"/>
    <x v="0"/>
  </r>
  <r>
    <s v="2/4/2023"/>
    <d v="2023-02-04T00:00:00"/>
    <s v="Saturday"/>
    <x v="1"/>
    <x v="0"/>
    <x v="4"/>
    <n v="1771.99748563312"/>
    <n v="2"/>
    <n v="473.69511643196199"/>
    <x v="3"/>
  </r>
  <r>
    <s v="2/5/2023"/>
    <d v="2023-02-05T00:00:00"/>
    <s v="Sunday"/>
    <x v="1"/>
    <x v="0"/>
    <x v="0"/>
    <n v="812.79498133342599"/>
    <n v="17"/>
    <n v="218.91621929329699"/>
    <x v="2"/>
  </r>
  <r>
    <s v="2/5/2023"/>
    <d v="2023-02-05T00:00:00"/>
    <s v="Sunday"/>
    <x v="1"/>
    <x v="0"/>
    <x v="1"/>
    <n v="737.31452398457202"/>
    <n v="2"/>
    <n v="127.780991550122"/>
    <x v="1"/>
  </r>
  <r>
    <s v="2/5/2023"/>
    <d v="2023-02-05T00:00:00"/>
    <s v="Sunday"/>
    <x v="1"/>
    <x v="0"/>
    <x v="2"/>
    <n v="585.16871699000001"/>
    <n v="13"/>
    <n v="116.508031261768"/>
    <x v="0"/>
  </r>
  <r>
    <s v="2/5/2023"/>
    <d v="2023-02-05T00:00:00"/>
    <s v="Sunday"/>
    <x v="1"/>
    <x v="0"/>
    <x v="3"/>
    <n v="891.57314817196004"/>
    <n v="6"/>
    <n v="186.88001379405301"/>
    <x v="3"/>
  </r>
  <r>
    <s v="2/5/2023"/>
    <d v="2023-02-05T00:00:00"/>
    <s v="Sunday"/>
    <x v="1"/>
    <x v="0"/>
    <x v="4"/>
    <n v="928.45198978478197"/>
    <n v="4"/>
    <n v="329.82816419209399"/>
    <x v="2"/>
  </r>
  <r>
    <s v="2/6/2023"/>
    <d v="2023-02-06T00:00:00"/>
    <s v="Monday"/>
    <x v="1"/>
    <x v="0"/>
    <x v="0"/>
    <n v="751.42486869437903"/>
    <n v="9"/>
    <n v="93.229376409035197"/>
    <x v="1"/>
  </r>
  <r>
    <s v="2/6/2023"/>
    <d v="2023-02-06T00:00:00"/>
    <s v="Monday"/>
    <x v="1"/>
    <x v="0"/>
    <x v="1"/>
    <n v="792.354336376932"/>
    <n v="8"/>
    <n v="258.53678971366003"/>
    <x v="3"/>
  </r>
  <r>
    <s v="2/6/2023"/>
    <d v="2023-02-06T00:00:00"/>
    <s v="Monday"/>
    <x v="1"/>
    <x v="0"/>
    <x v="2"/>
    <n v="928.31558594770001"/>
    <n v="11"/>
    <n v="333.87068500688201"/>
    <x v="2"/>
  </r>
  <r>
    <s v="2/6/2023"/>
    <d v="2023-02-06T00:00:00"/>
    <s v="Monday"/>
    <x v="1"/>
    <x v="0"/>
    <x v="3"/>
    <n v="727.73913875200003"/>
    <n v="17"/>
    <n v="179.913005584198"/>
    <x v="2"/>
  </r>
  <r>
    <s v="2/6/2023"/>
    <d v="2023-02-06T00:00:00"/>
    <s v="Monday"/>
    <x v="1"/>
    <x v="0"/>
    <x v="4"/>
    <n v="1158.4949828891099"/>
    <n v="15"/>
    <n v="301.80070919999997"/>
    <x v="2"/>
  </r>
  <r>
    <s v="2/7/2023"/>
    <d v="2023-02-07T00:00:00"/>
    <s v="Tuesday"/>
    <x v="1"/>
    <x v="0"/>
    <x v="0"/>
    <n v="162.25145547739999"/>
    <n v="19"/>
    <n v="373.46066450000001"/>
    <x v="0"/>
  </r>
  <r>
    <s v="2/7/2023"/>
    <d v="2023-02-07T00:00:00"/>
    <s v="Tuesday"/>
    <x v="1"/>
    <x v="0"/>
    <x v="1"/>
    <n v="83.632899191269999"/>
    <n v="19"/>
    <n v="132.77839513073999"/>
    <x v="3"/>
  </r>
  <r>
    <s v="2/7/2023"/>
    <d v="2023-02-07T00:00:00"/>
    <s v="Tuesday"/>
    <x v="1"/>
    <x v="0"/>
    <x v="2"/>
    <n v="781.46151349589695"/>
    <n v="17"/>
    <n v="181.107403910632"/>
    <x v="0"/>
  </r>
  <r>
    <s v="2/7/2023"/>
    <d v="2023-02-07T00:00:00"/>
    <s v="Tuesday"/>
    <x v="1"/>
    <x v="0"/>
    <x v="3"/>
    <n v="542.71284491999995"/>
    <n v="5"/>
    <n v="136.672018659645"/>
    <x v="1"/>
  </r>
  <r>
    <s v="2/7/2023"/>
    <d v="2023-02-07T00:00:00"/>
    <s v="Tuesday"/>
    <x v="1"/>
    <x v="0"/>
    <x v="4"/>
    <n v="1239.3289437359001"/>
    <n v="4"/>
    <n v="243.14565994566999"/>
    <x v="1"/>
  </r>
  <r>
    <s v="2/8/2023"/>
    <d v="2023-02-08T00:00:00"/>
    <s v="Wednesday"/>
    <x v="1"/>
    <x v="0"/>
    <x v="0"/>
    <n v="955.43457849788501"/>
    <n v="10"/>
    <n v="252.78977447474799"/>
    <x v="2"/>
  </r>
  <r>
    <s v="2/8/2023"/>
    <d v="2023-02-08T00:00:00"/>
    <s v="Wednesday"/>
    <x v="1"/>
    <x v="0"/>
    <x v="1"/>
    <n v="877.76195879420004"/>
    <n v="12"/>
    <n v="140.89759359484501"/>
    <x v="3"/>
  </r>
  <r>
    <s v="2/8/2023"/>
    <d v="2023-02-08T00:00:00"/>
    <s v="Wednesday"/>
    <x v="1"/>
    <x v="0"/>
    <x v="2"/>
    <n v="819.49396331840001"/>
    <n v="5"/>
    <n v="82.607340568891502"/>
    <x v="0"/>
  </r>
  <r>
    <s v="2/8/2023"/>
    <d v="2023-02-08T00:00:00"/>
    <s v="Wednesday"/>
    <x v="1"/>
    <x v="0"/>
    <x v="3"/>
    <n v="1228.7532839600001"/>
    <n v="11"/>
    <n v="297.13265416110198"/>
    <x v="2"/>
  </r>
  <r>
    <s v="2/8/2023"/>
    <d v="2023-02-08T00:00:00"/>
    <s v="Wednesday"/>
    <x v="1"/>
    <x v="0"/>
    <x v="4"/>
    <n v="468.92743497432002"/>
    <n v="17"/>
    <n v="166.57143814402201"/>
    <x v="3"/>
  </r>
  <r>
    <s v="2/9/2023"/>
    <d v="2023-02-09T00:00:00"/>
    <s v="Thursday"/>
    <x v="1"/>
    <x v="0"/>
    <x v="0"/>
    <n v="69.211279289711001"/>
    <n v="12"/>
    <n v="153.610308003135"/>
    <x v="0"/>
  </r>
  <r>
    <s v="2/9/2023"/>
    <d v="2023-02-09T00:00:00"/>
    <s v="Thursday"/>
    <x v="1"/>
    <x v="0"/>
    <x v="1"/>
    <n v="15.91878531711"/>
    <n v="12"/>
    <n v="224.65341169201599"/>
    <x v="0"/>
  </r>
  <r>
    <s v="2/9/2023"/>
    <d v="2023-02-09T00:00:00"/>
    <s v="Thursday"/>
    <x v="1"/>
    <x v="0"/>
    <x v="2"/>
    <n v="126.81817574369001"/>
    <n v="8"/>
    <n v="324.96635373397999"/>
    <x v="3"/>
  </r>
  <r>
    <s v="2/9/2023"/>
    <d v="2023-02-09T00:00:00"/>
    <s v="Thursday"/>
    <x v="1"/>
    <x v="0"/>
    <x v="3"/>
    <n v="964.447241932"/>
    <n v="9"/>
    <n v="313.45969873843597"/>
    <x v="3"/>
  </r>
  <r>
    <s v="2/9/2023"/>
    <d v="2023-02-09T00:00:00"/>
    <s v="Thursday"/>
    <x v="1"/>
    <x v="0"/>
    <x v="4"/>
    <n v="134.1188386389"/>
    <n v="3"/>
    <n v="154.37299063340001"/>
    <x v="0"/>
  </r>
  <r>
    <s v="2/10/2023"/>
    <d v="2023-02-10T00:00:00"/>
    <s v="Friday"/>
    <x v="1"/>
    <x v="0"/>
    <x v="0"/>
    <n v="1196.1992137446"/>
    <n v="4"/>
    <n v="233.05521558658501"/>
    <x v="2"/>
  </r>
  <r>
    <s v="2/10/2023"/>
    <d v="2023-02-10T00:00:00"/>
    <s v="Friday"/>
    <x v="1"/>
    <x v="0"/>
    <x v="1"/>
    <n v="612.66268331538799"/>
    <n v="18"/>
    <n v="211.356269465688"/>
    <x v="1"/>
  </r>
  <r>
    <s v="2/10/2023"/>
    <d v="2023-02-10T00:00:00"/>
    <s v="Friday"/>
    <x v="1"/>
    <x v="0"/>
    <x v="2"/>
    <n v="1165.7599457423"/>
    <n v="6"/>
    <n v="305.35253699935498"/>
    <x v="1"/>
  </r>
  <r>
    <s v="2/10/2023"/>
    <d v="2023-02-10T00:00:00"/>
    <s v="Friday"/>
    <x v="1"/>
    <x v="0"/>
    <x v="3"/>
    <n v="188.66513529374001"/>
    <n v="15"/>
    <n v="297.47326430326399"/>
    <x v="0"/>
  </r>
  <r>
    <s v="2/10/2023"/>
    <d v="2023-02-10T00:00:00"/>
    <s v="Friday"/>
    <x v="1"/>
    <x v="0"/>
    <x v="4"/>
    <n v="928.24641994900003"/>
    <n v="14"/>
    <n v="111.376325397302"/>
    <x v="3"/>
  </r>
  <r>
    <s v="2/11/2023"/>
    <d v="2023-02-11T00:00:00"/>
    <s v="Saturday"/>
    <x v="1"/>
    <x v="0"/>
    <x v="0"/>
    <n v="1246.9314927235"/>
    <n v="19"/>
    <n v="327.76191963448002"/>
    <x v="2"/>
  </r>
  <r>
    <s v="2/11/2023"/>
    <d v="2023-02-11T00:00:00"/>
    <s v="Saturday"/>
    <x v="1"/>
    <x v="0"/>
    <x v="1"/>
    <n v="149.55831436170001"/>
    <n v="8"/>
    <n v="323.38495613665401"/>
    <x v="3"/>
  </r>
  <r>
    <s v="2/11/2023"/>
    <d v="2023-02-11T00:00:00"/>
    <s v="Saturday"/>
    <x v="1"/>
    <x v="0"/>
    <x v="2"/>
    <n v="117.68123489"/>
    <n v="15"/>
    <n v="425.64642427546897"/>
    <x v="0"/>
  </r>
  <r>
    <s v="2/11/2023"/>
    <d v="2023-02-11T00:00:00"/>
    <s v="Saturday"/>
    <x v="1"/>
    <x v="0"/>
    <x v="3"/>
    <n v="1289.7766238787001"/>
    <n v="4"/>
    <n v="515.01783795690596"/>
    <x v="0"/>
  </r>
  <r>
    <s v="2/11/2023"/>
    <d v="2023-02-11T00:00:00"/>
    <s v="Saturday"/>
    <x v="1"/>
    <x v="0"/>
    <x v="4"/>
    <n v="124.61646134583"/>
    <n v="1"/>
    <n v="319.77679166655997"/>
    <x v="1"/>
  </r>
  <r>
    <s v="2/12/2023"/>
    <d v="2023-02-12T00:00:00"/>
    <s v="Sunday"/>
    <x v="1"/>
    <x v="0"/>
    <x v="0"/>
    <n v="1452.9313937378799"/>
    <n v="10"/>
    <n v="294.39953295401699"/>
    <x v="2"/>
  </r>
  <r>
    <s v="2/12/2023"/>
    <d v="2023-02-12T00:00:00"/>
    <s v="Sunday"/>
    <x v="1"/>
    <x v="0"/>
    <x v="1"/>
    <n v="112.61344147"/>
    <n v="13"/>
    <n v="149.25355504388199"/>
    <x v="3"/>
  </r>
  <r>
    <s v="2/12/2023"/>
    <d v="2023-02-12T00:00:00"/>
    <s v="Sunday"/>
    <x v="1"/>
    <x v="0"/>
    <x v="2"/>
    <n v="1677.1594843279399"/>
    <n v="15"/>
    <n v="568.87339379116202"/>
    <x v="0"/>
  </r>
  <r>
    <s v="2/12/2023"/>
    <d v="2023-02-12T00:00:00"/>
    <s v="Sunday"/>
    <x v="1"/>
    <x v="0"/>
    <x v="3"/>
    <n v="719.98567221122005"/>
    <n v="15"/>
    <n v="160.31395740009501"/>
    <x v="0"/>
  </r>
  <r>
    <s v="2/12/2023"/>
    <d v="2023-02-12T00:00:00"/>
    <s v="Sunday"/>
    <x v="1"/>
    <x v="0"/>
    <x v="4"/>
    <n v="126.8817763169"/>
    <n v="19"/>
    <n v="339.99992840317202"/>
    <x v="2"/>
  </r>
  <r>
    <s v="2/13/2023"/>
    <d v="2023-02-13T00:00:00"/>
    <s v="Monday"/>
    <x v="1"/>
    <x v="0"/>
    <x v="0"/>
    <n v="146.69135764148001"/>
    <n v="11"/>
    <n v="393.46396488586799"/>
    <x v="3"/>
  </r>
  <r>
    <s v="2/13/2023"/>
    <d v="2023-02-13T00:00:00"/>
    <s v="Monday"/>
    <x v="1"/>
    <x v="0"/>
    <x v="1"/>
    <n v="466.38392532871597"/>
    <n v="15"/>
    <n v="86.924115957973896"/>
    <x v="1"/>
  </r>
  <r>
    <s v="2/13/2023"/>
    <d v="2023-02-13T00:00:00"/>
    <s v="Monday"/>
    <x v="1"/>
    <x v="0"/>
    <x v="2"/>
    <n v="1448.8132934467501"/>
    <n v="12"/>
    <n v="541.21249682261498"/>
    <x v="3"/>
  </r>
  <r>
    <s v="2/13/2023"/>
    <d v="2023-02-13T00:00:00"/>
    <s v="Monday"/>
    <x v="1"/>
    <x v="0"/>
    <x v="3"/>
    <n v="1733.7255938854"/>
    <n v="15"/>
    <n v="551.02770973750899"/>
    <x v="1"/>
  </r>
  <r>
    <s v="2/13/2023"/>
    <d v="2023-02-13T00:00:00"/>
    <s v="Monday"/>
    <x v="1"/>
    <x v="0"/>
    <x v="4"/>
    <n v="138.76635459255999"/>
    <n v="12"/>
    <n v="135.72915844237801"/>
    <x v="3"/>
  </r>
  <r>
    <s v="2/14/2023"/>
    <d v="2023-02-14T00:00:00"/>
    <s v="Tuesday"/>
    <x v="1"/>
    <x v="0"/>
    <x v="0"/>
    <n v="1144.327695211"/>
    <n v="8"/>
    <n v="338.03866799999997"/>
    <x v="0"/>
  </r>
  <r>
    <s v="2/14/2023"/>
    <d v="2023-02-14T00:00:00"/>
    <s v="Tuesday"/>
    <x v="1"/>
    <x v="0"/>
    <x v="1"/>
    <n v="167.16527283729999"/>
    <n v="9"/>
    <n v="242.50176945511399"/>
    <x v="0"/>
  </r>
  <r>
    <s v="2/14/2023"/>
    <d v="2023-02-14T00:00:00"/>
    <s v="Tuesday"/>
    <x v="1"/>
    <x v="0"/>
    <x v="2"/>
    <n v="811.77433468675599"/>
    <n v="4"/>
    <n v="111.53682299689"/>
    <x v="0"/>
  </r>
  <r>
    <s v="2/14/2023"/>
    <d v="2023-02-14T00:00:00"/>
    <s v="Tuesday"/>
    <x v="1"/>
    <x v="0"/>
    <x v="3"/>
    <n v="851.3832271"/>
    <n v="1"/>
    <n v="307.32287430994597"/>
    <x v="1"/>
  </r>
  <r>
    <s v="2/14/2023"/>
    <d v="2023-02-14T00:00:00"/>
    <s v="Tuesday"/>
    <x v="1"/>
    <x v="0"/>
    <x v="4"/>
    <n v="1161.3297875228"/>
    <n v="15"/>
    <n v="135.21187546547301"/>
    <x v="0"/>
  </r>
  <r>
    <s v="2/15/2023"/>
    <d v="2023-02-15T00:00:00"/>
    <s v="Wednesday"/>
    <x v="1"/>
    <x v="0"/>
    <x v="0"/>
    <n v="592.38654559999998"/>
    <n v="10"/>
    <n v="201.918528882103"/>
    <x v="0"/>
  </r>
  <r>
    <s v="2/15/2023"/>
    <d v="2023-02-15T00:00:00"/>
    <s v="Wednesday"/>
    <x v="1"/>
    <x v="0"/>
    <x v="1"/>
    <n v="792.354336376932"/>
    <n v="11"/>
    <n v="273.405002478683"/>
    <x v="1"/>
  </r>
  <r>
    <s v="2/15/2023"/>
    <d v="2023-02-15T00:00:00"/>
    <s v="Wednesday"/>
    <x v="1"/>
    <x v="0"/>
    <x v="2"/>
    <n v="173.831146875"/>
    <n v="18"/>
    <n v="262.28442150000001"/>
    <x v="1"/>
  </r>
  <r>
    <s v="2/15/2023"/>
    <d v="2023-02-15T00:00:00"/>
    <s v="Wednesday"/>
    <x v="1"/>
    <x v="0"/>
    <x v="3"/>
    <n v="549.17494699999997"/>
    <n v="12"/>
    <n v="205.293571693991"/>
    <x v="2"/>
  </r>
  <r>
    <s v="2/15/2023"/>
    <d v="2023-02-15T00:00:00"/>
    <s v="Wednesday"/>
    <x v="1"/>
    <x v="0"/>
    <x v="4"/>
    <n v="921.77945532453998"/>
    <n v="7"/>
    <n v="137.94797749161299"/>
    <x v="0"/>
  </r>
  <r>
    <s v="2/16/2023"/>
    <d v="2023-02-16T00:00:00"/>
    <s v="Thursday"/>
    <x v="1"/>
    <x v="0"/>
    <x v="0"/>
    <n v="836.92212288292001"/>
    <n v="11"/>
    <n v="269.61020140274002"/>
    <x v="3"/>
  </r>
  <r>
    <s v="2/16/2023"/>
    <d v="2023-02-16T00:00:00"/>
    <s v="Thursday"/>
    <x v="1"/>
    <x v="0"/>
    <x v="1"/>
    <n v="128.861994442"/>
    <n v="18"/>
    <n v="361.52370730147999"/>
    <x v="1"/>
  </r>
  <r>
    <s v="2/16/2023"/>
    <d v="2023-02-16T00:00:00"/>
    <s v="Thursday"/>
    <x v="1"/>
    <x v="0"/>
    <x v="2"/>
    <n v="988.88922588426396"/>
    <n v="8"/>
    <n v="247.87349309124701"/>
    <x v="0"/>
  </r>
  <r>
    <s v="2/16/2023"/>
    <d v="2023-02-16T00:00:00"/>
    <s v="Thursday"/>
    <x v="1"/>
    <x v="0"/>
    <x v="3"/>
    <n v="1128.8344736151"/>
    <n v="13"/>
    <n v="247.43536307760601"/>
    <x v="1"/>
  </r>
  <r>
    <s v="2/16/2023"/>
    <d v="2023-02-16T00:00:00"/>
    <s v="Thursday"/>
    <x v="1"/>
    <x v="0"/>
    <x v="4"/>
    <n v="849.22161818129996"/>
    <n v="17"/>
    <n v="117.55903707652899"/>
    <x v="2"/>
  </r>
  <r>
    <s v="2/17/2023"/>
    <d v="2023-02-17T00:00:00"/>
    <s v="Friday"/>
    <x v="1"/>
    <x v="0"/>
    <x v="0"/>
    <n v="956.69187642281702"/>
    <n v="16"/>
    <n v="257.78286474082199"/>
    <x v="2"/>
  </r>
  <r>
    <s v="2/17/2023"/>
    <d v="2023-02-17T00:00:00"/>
    <s v="Friday"/>
    <x v="1"/>
    <x v="0"/>
    <x v="1"/>
    <n v="1311.9977319489401"/>
    <n v="18"/>
    <n v="337.59942640000003"/>
    <x v="3"/>
  </r>
  <r>
    <s v="2/17/2023"/>
    <d v="2023-02-17T00:00:00"/>
    <s v="Friday"/>
    <x v="1"/>
    <x v="0"/>
    <x v="2"/>
    <n v="699.81391582811705"/>
    <n v="17"/>
    <n v="154.11926166793901"/>
    <x v="2"/>
  </r>
  <r>
    <s v="2/17/2023"/>
    <d v="2023-02-17T00:00:00"/>
    <s v="Friday"/>
    <x v="1"/>
    <x v="0"/>
    <x v="3"/>
    <n v="893.43730000000005"/>
    <n v="8"/>
    <n v="320.18684303679902"/>
    <x v="1"/>
  </r>
  <r>
    <s v="2/17/2023"/>
    <d v="2023-02-17T00:00:00"/>
    <s v="Friday"/>
    <x v="1"/>
    <x v="0"/>
    <x v="4"/>
    <n v="171.48887863643"/>
    <n v="3"/>
    <n v="227.14792206918099"/>
    <x v="2"/>
  </r>
  <r>
    <s v="2/18/2023"/>
    <d v="2023-02-18T00:00:00"/>
    <s v="Saturday"/>
    <x v="1"/>
    <x v="0"/>
    <x v="0"/>
    <n v="119.899721156"/>
    <n v="1"/>
    <n v="109.67029135562299"/>
    <x v="3"/>
  </r>
  <r>
    <s v="2/18/2023"/>
    <d v="2023-02-18T00:00:00"/>
    <s v="Saturday"/>
    <x v="1"/>
    <x v="0"/>
    <x v="1"/>
    <n v="1285.45421888288"/>
    <n v="18"/>
    <n v="462.88965785387302"/>
    <x v="3"/>
  </r>
  <r>
    <s v="2/18/2023"/>
    <d v="2023-02-18T00:00:00"/>
    <s v="Saturday"/>
    <x v="1"/>
    <x v="0"/>
    <x v="2"/>
    <n v="1216.5161921296999"/>
    <n v="8"/>
    <n v="159.64463948875701"/>
    <x v="1"/>
  </r>
  <r>
    <s v="2/18/2023"/>
    <d v="2023-02-18T00:00:00"/>
    <s v="Saturday"/>
    <x v="1"/>
    <x v="0"/>
    <x v="3"/>
    <n v="661.284468634831"/>
    <n v="5"/>
    <n v="101.549090455738"/>
    <x v="0"/>
  </r>
  <r>
    <s v="2/18/2023"/>
    <d v="2023-02-18T00:00:00"/>
    <s v="Saturday"/>
    <x v="1"/>
    <x v="0"/>
    <x v="4"/>
    <n v="1514.99733293641"/>
    <n v="3"/>
    <n v="262.02129953618498"/>
    <x v="2"/>
  </r>
  <r>
    <s v="2/19/2023"/>
    <d v="2023-02-19T00:00:00"/>
    <s v="Sunday"/>
    <x v="1"/>
    <x v="0"/>
    <x v="0"/>
    <n v="1132.2945455838001"/>
    <n v="14"/>
    <n v="395.244053806024"/>
    <x v="3"/>
  </r>
  <r>
    <s v="2/19/2023"/>
    <d v="2023-02-19T00:00:00"/>
    <s v="Sunday"/>
    <x v="1"/>
    <x v="0"/>
    <x v="1"/>
    <n v="492.21475876300002"/>
    <n v="18"/>
    <n v="51.121177256106698"/>
    <x v="1"/>
  </r>
  <r>
    <s v="2/19/2023"/>
    <d v="2023-02-19T00:00:00"/>
    <s v="Sunday"/>
    <x v="1"/>
    <x v="0"/>
    <x v="2"/>
    <n v="729.84134443855999"/>
    <n v="1"/>
    <n v="118.501133165827"/>
    <x v="1"/>
  </r>
  <r>
    <s v="2/19/2023"/>
    <d v="2023-02-19T00:00:00"/>
    <s v="Sunday"/>
    <x v="1"/>
    <x v="0"/>
    <x v="3"/>
    <n v="141.21176416590001"/>
    <n v="1"/>
    <n v="486.85149717435502"/>
    <x v="3"/>
  </r>
  <r>
    <s v="2/19/2023"/>
    <d v="2023-02-19T00:00:00"/>
    <s v="Sunday"/>
    <x v="1"/>
    <x v="0"/>
    <x v="4"/>
    <n v="1287.4761478457699"/>
    <n v="11"/>
    <n v="228.94805960509001"/>
    <x v="2"/>
  </r>
  <r>
    <s v="2/20/2023"/>
    <d v="2023-02-20T00:00:00"/>
    <s v="Monday"/>
    <x v="1"/>
    <x v="0"/>
    <x v="0"/>
    <n v="91.275458999999998"/>
    <n v="5"/>
    <n v="183.446290883057"/>
    <x v="3"/>
  </r>
  <r>
    <s v="2/20/2023"/>
    <d v="2023-02-20T00:00:00"/>
    <s v="Monday"/>
    <x v="1"/>
    <x v="0"/>
    <x v="1"/>
    <n v="97.952188781976005"/>
    <n v="9"/>
    <n v="224.13262129314401"/>
    <x v="3"/>
  </r>
  <r>
    <s v="2/20/2023"/>
    <d v="2023-02-20T00:00:00"/>
    <s v="Monday"/>
    <x v="1"/>
    <x v="0"/>
    <x v="2"/>
    <n v="893.49317598200003"/>
    <n v="14"/>
    <n v="215.61675420579601"/>
    <x v="3"/>
  </r>
  <r>
    <s v="2/20/2023"/>
    <d v="2023-02-20T00:00:00"/>
    <s v="Monday"/>
    <x v="1"/>
    <x v="0"/>
    <x v="3"/>
    <n v="177.2419737479"/>
    <n v="17"/>
    <n v="264.39127806471402"/>
    <x v="0"/>
  </r>
  <r>
    <s v="2/20/2023"/>
    <d v="2023-02-20T00:00:00"/>
    <s v="Monday"/>
    <x v="1"/>
    <x v="0"/>
    <x v="4"/>
    <n v="192.34536676100001"/>
    <n v="13"/>
    <n v="241.150571539661"/>
    <x v="0"/>
  </r>
  <r>
    <s v="2/21/2023"/>
    <d v="2023-02-21T00:00:00"/>
    <s v="Tuesday"/>
    <x v="1"/>
    <x v="0"/>
    <x v="0"/>
    <n v="486.94948223120002"/>
    <n v="11"/>
    <n v="110.29950199240901"/>
    <x v="2"/>
  </r>
  <r>
    <s v="2/21/2023"/>
    <d v="2023-02-21T00:00:00"/>
    <s v="Tuesday"/>
    <x v="1"/>
    <x v="0"/>
    <x v="1"/>
    <n v="613.46578672819999"/>
    <n v="5"/>
    <n v="64.731193860660895"/>
    <x v="2"/>
  </r>
  <r>
    <s v="2/21/2023"/>
    <d v="2023-02-21T00:00:00"/>
    <s v="Tuesday"/>
    <x v="1"/>
    <x v="0"/>
    <x v="2"/>
    <n v="13.245226676210001"/>
    <n v="10"/>
    <n v="281.21052676724798"/>
    <x v="2"/>
  </r>
  <r>
    <s v="2/21/2023"/>
    <d v="2023-02-21T00:00:00"/>
    <s v="Tuesday"/>
    <x v="1"/>
    <x v="0"/>
    <x v="3"/>
    <n v="955.39172766333002"/>
    <n v="6"/>
    <n v="333.357480865502"/>
    <x v="1"/>
  </r>
  <r>
    <s v="2/21/2023"/>
    <d v="2023-02-21T00:00:00"/>
    <s v="Tuesday"/>
    <x v="1"/>
    <x v="0"/>
    <x v="4"/>
    <n v="796.22742498596801"/>
    <n v="10"/>
    <n v="113.068722644969"/>
    <x v="1"/>
  </r>
  <r>
    <s v="2/22/2023"/>
    <d v="2023-02-22T00:00:00"/>
    <s v="Wednesday"/>
    <x v="1"/>
    <x v="0"/>
    <x v="0"/>
    <n v="1486.1633549759999"/>
    <n v="7"/>
    <n v="404.21816104767203"/>
    <x v="0"/>
  </r>
  <r>
    <s v="2/22/2023"/>
    <d v="2023-02-22T00:00:00"/>
    <s v="Wednesday"/>
    <x v="1"/>
    <x v="0"/>
    <x v="1"/>
    <n v="1471.1483957834"/>
    <n v="14"/>
    <n v="167.843010987757"/>
    <x v="3"/>
  </r>
  <r>
    <s v="2/22/2023"/>
    <d v="2023-02-22T00:00:00"/>
    <s v="Wednesday"/>
    <x v="1"/>
    <x v="0"/>
    <x v="2"/>
    <n v="144.16234881880001"/>
    <n v="11"/>
    <n v="194.84917396313301"/>
    <x v="3"/>
  </r>
  <r>
    <s v="2/22/2023"/>
    <d v="2023-02-22T00:00:00"/>
    <s v="Wednesday"/>
    <x v="1"/>
    <x v="0"/>
    <x v="3"/>
    <n v="933.23755830000005"/>
    <n v="4"/>
    <n v="294.63594930328901"/>
    <x v="1"/>
  </r>
  <r>
    <s v="2/22/2023"/>
    <d v="2023-02-22T00:00:00"/>
    <s v="Wednesday"/>
    <x v="1"/>
    <x v="0"/>
    <x v="4"/>
    <n v="1162.3561781799999"/>
    <n v="15"/>
    <n v="448.91079087651201"/>
    <x v="2"/>
  </r>
  <r>
    <s v="2/23/2023"/>
    <d v="2023-02-23T00:00:00"/>
    <s v="Thursday"/>
    <x v="1"/>
    <x v="0"/>
    <x v="0"/>
    <n v="139.88855566800001"/>
    <n v="5"/>
    <n v="254.902336427085"/>
    <x v="2"/>
  </r>
  <r>
    <s v="2/23/2023"/>
    <d v="2023-02-23T00:00:00"/>
    <s v="Thursday"/>
    <x v="1"/>
    <x v="0"/>
    <x v="1"/>
    <n v="827.38652128667002"/>
    <n v="13"/>
    <n v="121.11934533165601"/>
    <x v="0"/>
  </r>
  <r>
    <s v="2/23/2023"/>
    <d v="2023-02-23T00:00:00"/>
    <s v="Thursday"/>
    <x v="1"/>
    <x v="0"/>
    <x v="2"/>
    <n v="136.629443936"/>
    <n v="2"/>
    <n v="136.81031335906499"/>
    <x v="0"/>
  </r>
  <r>
    <s v="2/23/2023"/>
    <d v="2023-02-23T00:00:00"/>
    <s v="Thursday"/>
    <x v="1"/>
    <x v="0"/>
    <x v="3"/>
    <n v="686.22619934287002"/>
    <n v="11"/>
    <n v="191.790490299841"/>
    <x v="0"/>
  </r>
  <r>
    <s v="2/23/2023"/>
    <d v="2023-02-23T00:00:00"/>
    <s v="Thursday"/>
    <x v="1"/>
    <x v="0"/>
    <x v="4"/>
    <n v="465.83299536854997"/>
    <n v="7"/>
    <n v="57.194985896438602"/>
    <x v="2"/>
  </r>
  <r>
    <s v="2/24/2023"/>
    <d v="2023-02-24T00:00:00"/>
    <s v="Friday"/>
    <x v="1"/>
    <x v="0"/>
    <x v="0"/>
    <n v="1189.72232171665"/>
    <n v="6"/>
    <n v="329.63541197242301"/>
    <x v="1"/>
  </r>
  <r>
    <s v="2/24/2023"/>
    <d v="2023-02-24T00:00:00"/>
    <s v="Friday"/>
    <x v="1"/>
    <x v="0"/>
    <x v="1"/>
    <n v="1291.7663348880999"/>
    <n v="5"/>
    <n v="164.667425249579"/>
    <x v="1"/>
  </r>
  <r>
    <s v="2/24/2023"/>
    <d v="2023-02-24T00:00:00"/>
    <s v="Friday"/>
    <x v="1"/>
    <x v="0"/>
    <x v="2"/>
    <n v="165.252371786"/>
    <n v="12"/>
    <n v="279.70361799850002"/>
    <x v="3"/>
  </r>
  <r>
    <s v="2/24/2023"/>
    <d v="2023-02-24T00:00:00"/>
    <s v="Friday"/>
    <x v="1"/>
    <x v="0"/>
    <x v="3"/>
    <n v="1583.7613854483"/>
    <n v="19"/>
    <n v="506.2769887"/>
    <x v="0"/>
  </r>
  <r>
    <s v="2/24/2023"/>
    <d v="2023-02-24T00:00:00"/>
    <s v="Friday"/>
    <x v="1"/>
    <x v="0"/>
    <x v="4"/>
    <n v="1241.4495362140001"/>
    <n v="16"/>
    <n v="440.41197320881201"/>
    <x v="0"/>
  </r>
  <r>
    <s v="2/25/2023"/>
    <d v="2023-02-25T00:00:00"/>
    <s v="Saturday"/>
    <x v="1"/>
    <x v="0"/>
    <x v="0"/>
    <n v="1279.7637866"/>
    <n v="18"/>
    <n v="315.711118373548"/>
    <x v="1"/>
  </r>
  <r>
    <s v="2/25/2023"/>
    <d v="2023-02-25T00:00:00"/>
    <s v="Saturday"/>
    <x v="1"/>
    <x v="0"/>
    <x v="1"/>
    <n v="915.5453"/>
    <n v="15"/>
    <n v="103.62402479401599"/>
    <x v="3"/>
  </r>
  <r>
    <s v="2/25/2023"/>
    <d v="2023-02-25T00:00:00"/>
    <s v="Saturday"/>
    <x v="1"/>
    <x v="0"/>
    <x v="2"/>
    <n v="781.46151349589695"/>
    <n v="7"/>
    <n v="414.445420297162"/>
    <x v="2"/>
  </r>
  <r>
    <s v="2/25/2023"/>
    <d v="2023-02-25T00:00:00"/>
    <s v="Saturday"/>
    <x v="1"/>
    <x v="0"/>
    <x v="3"/>
    <n v="1245.5454239155999"/>
    <n v="14"/>
    <n v="169.589445857534"/>
    <x v="1"/>
  </r>
  <r>
    <s v="2/25/2023"/>
    <d v="2023-02-25T00:00:00"/>
    <s v="Saturday"/>
    <x v="1"/>
    <x v="0"/>
    <x v="4"/>
    <n v="14.154296"/>
    <n v="9"/>
    <n v="164.11524149019399"/>
    <x v="3"/>
  </r>
  <r>
    <s v="2/26/2023"/>
    <d v="2023-02-26T00:00:00"/>
    <s v="Sunday"/>
    <x v="1"/>
    <x v="0"/>
    <x v="0"/>
    <n v="1338.7283126540001"/>
    <n v="7"/>
    <n v="316.66518283843101"/>
    <x v="1"/>
  </r>
  <r>
    <s v="2/26/2023"/>
    <d v="2023-02-26T00:00:00"/>
    <s v="Sunday"/>
    <x v="1"/>
    <x v="0"/>
    <x v="1"/>
    <n v="792.354336376932"/>
    <n v="10"/>
    <n v="286.28666739233103"/>
    <x v="2"/>
  </r>
  <r>
    <s v="2/26/2023"/>
    <d v="2023-02-26T00:00:00"/>
    <s v="Sunday"/>
    <x v="1"/>
    <x v="0"/>
    <x v="2"/>
    <n v="578.45223299999998"/>
    <n v="13"/>
    <n v="71.199322879999997"/>
    <x v="0"/>
  </r>
  <r>
    <s v="2/26/2023"/>
    <d v="2023-02-26T00:00:00"/>
    <s v="Sunday"/>
    <x v="1"/>
    <x v="0"/>
    <x v="3"/>
    <n v="746.15692945599994"/>
    <n v="11"/>
    <n v="232.31947148864899"/>
    <x v="1"/>
  </r>
  <r>
    <s v="2/26/2023"/>
    <d v="2023-02-26T00:00:00"/>
    <s v="Sunday"/>
    <x v="1"/>
    <x v="0"/>
    <x v="4"/>
    <n v="1433.2519235646901"/>
    <n v="17"/>
    <n v="374.82468387797701"/>
    <x v="2"/>
  </r>
  <r>
    <s v="2/27/2023"/>
    <d v="2023-02-27T00:00:00"/>
    <s v="Monday"/>
    <x v="1"/>
    <x v="0"/>
    <x v="0"/>
    <n v="428.64637844447998"/>
    <n v="13"/>
    <n v="123.350459386094"/>
    <x v="3"/>
  </r>
  <r>
    <s v="2/27/2023"/>
    <d v="2023-02-27T00:00:00"/>
    <s v="Monday"/>
    <x v="1"/>
    <x v="0"/>
    <x v="1"/>
    <n v="792.354336376932"/>
    <n v="2"/>
    <n v="139.84267634714899"/>
    <x v="2"/>
  </r>
  <r>
    <s v="2/27/2023"/>
    <d v="2023-02-27T00:00:00"/>
    <s v="Monday"/>
    <x v="1"/>
    <x v="0"/>
    <x v="2"/>
    <n v="941.12164217113002"/>
    <n v="2"/>
    <n v="100.11729486950099"/>
    <x v="1"/>
  </r>
  <r>
    <s v="2/27/2023"/>
    <d v="2023-02-27T00:00:00"/>
    <s v="Monday"/>
    <x v="1"/>
    <x v="0"/>
    <x v="3"/>
    <n v="868.72995918799995"/>
    <n v="3"/>
    <n v="105.120477803675"/>
    <x v="2"/>
  </r>
  <r>
    <s v="2/27/2023"/>
    <d v="2023-02-27T00:00:00"/>
    <s v="Monday"/>
    <x v="1"/>
    <x v="0"/>
    <x v="4"/>
    <n v="644.99471433587996"/>
    <n v="17"/>
    <n v="142.07499384591799"/>
    <x v="0"/>
  </r>
  <r>
    <s v="2/28/2023"/>
    <d v="2023-02-28T00:00:00"/>
    <s v="Tuesday"/>
    <x v="1"/>
    <x v="0"/>
    <x v="0"/>
    <n v="1779.3113929731001"/>
    <n v="12"/>
    <n v="703.22841779999999"/>
    <x v="2"/>
  </r>
  <r>
    <s v="2/28/2023"/>
    <d v="2023-02-28T00:00:00"/>
    <s v="Tuesday"/>
    <x v="1"/>
    <x v="0"/>
    <x v="1"/>
    <n v="84.888716778990997"/>
    <n v="7"/>
    <n v="206.659812172031"/>
    <x v="0"/>
  </r>
  <r>
    <s v="2/28/2023"/>
    <d v="2023-02-28T00:00:00"/>
    <s v="Tuesday"/>
    <x v="1"/>
    <x v="0"/>
    <x v="2"/>
    <n v="873.943954871242"/>
    <n v="14"/>
    <n v="165.26355602425801"/>
    <x v="2"/>
  </r>
  <r>
    <s v="2/28/2023"/>
    <d v="2023-02-28T00:00:00"/>
    <s v="Tuesday"/>
    <x v="1"/>
    <x v="0"/>
    <x v="3"/>
    <n v="915.46461734184697"/>
    <n v="4"/>
    <n v="288.065584309766"/>
    <x v="0"/>
  </r>
  <r>
    <s v="2/28/2023"/>
    <d v="2023-02-28T00:00:00"/>
    <s v="Tuesday"/>
    <x v="1"/>
    <x v="0"/>
    <x v="4"/>
    <n v="989.59453378396495"/>
    <n v="17"/>
    <n v="215.22596728153101"/>
    <x v="3"/>
  </r>
  <r>
    <s v="3/1/2023"/>
    <d v="2023-03-01T00:00:00"/>
    <s v="Wednesday"/>
    <x v="2"/>
    <x v="0"/>
    <x v="0"/>
    <n v="17.264419769500002"/>
    <n v="12"/>
    <n v="414.11174945570798"/>
    <x v="0"/>
  </r>
  <r>
    <s v="3/1/2023"/>
    <d v="2023-03-01T00:00:00"/>
    <s v="Wednesday"/>
    <x v="2"/>
    <x v="0"/>
    <x v="1"/>
    <n v="1295.2967195429701"/>
    <n v="14"/>
    <n v="362.99334898922598"/>
    <x v="2"/>
  </r>
  <r>
    <s v="3/1/2023"/>
    <d v="2023-03-01T00:00:00"/>
    <s v="Wednesday"/>
    <x v="2"/>
    <x v="0"/>
    <x v="2"/>
    <n v="935.83346732347002"/>
    <n v="13"/>
    <n v="371.28509941537698"/>
    <x v="1"/>
  </r>
  <r>
    <s v="3/1/2023"/>
    <d v="2023-03-01T00:00:00"/>
    <s v="Wednesday"/>
    <x v="2"/>
    <x v="0"/>
    <x v="3"/>
    <n v="149.93566246391001"/>
    <n v="19"/>
    <n v="266.48055168191797"/>
    <x v="2"/>
  </r>
  <r>
    <s v="3/1/2023"/>
    <d v="2023-03-01T00:00:00"/>
    <s v="Wednesday"/>
    <x v="2"/>
    <x v="0"/>
    <x v="4"/>
    <n v="1147.7353792244"/>
    <n v="11"/>
    <n v="175.555778246355"/>
    <x v="2"/>
  </r>
  <r>
    <s v="3/2/2023"/>
    <d v="2023-03-02T00:00:00"/>
    <s v="Thursday"/>
    <x v="2"/>
    <x v="0"/>
    <x v="0"/>
    <n v="114.569481145"/>
    <n v="15"/>
    <n v="188.07665030618799"/>
    <x v="0"/>
  </r>
  <r>
    <s v="3/2/2023"/>
    <d v="2023-03-02T00:00:00"/>
    <s v="Thursday"/>
    <x v="2"/>
    <x v="0"/>
    <x v="1"/>
    <n v="1152.4569332476301"/>
    <n v="3"/>
    <n v="321.74548707118299"/>
    <x v="0"/>
  </r>
  <r>
    <s v="3/2/2023"/>
    <d v="2023-03-02T00:00:00"/>
    <s v="Thursday"/>
    <x v="2"/>
    <x v="0"/>
    <x v="2"/>
    <n v="887.98219487289998"/>
    <n v="18"/>
    <n v="219.64714838076901"/>
    <x v="0"/>
  </r>
  <r>
    <s v="3/2/2023"/>
    <d v="2023-03-02T00:00:00"/>
    <s v="Thursday"/>
    <x v="2"/>
    <x v="0"/>
    <x v="3"/>
    <n v="647.92893789636196"/>
    <n v="3"/>
    <n v="223.373460842388"/>
    <x v="2"/>
  </r>
  <r>
    <s v="3/2/2023"/>
    <d v="2023-03-02T00:00:00"/>
    <s v="Thursday"/>
    <x v="2"/>
    <x v="0"/>
    <x v="4"/>
    <n v="1413.4824359710001"/>
    <n v="9"/>
    <n v="520.83496519602397"/>
    <x v="0"/>
  </r>
  <r>
    <s v="3/3/2023"/>
    <d v="2023-03-03T00:00:00"/>
    <s v="Friday"/>
    <x v="2"/>
    <x v="0"/>
    <x v="0"/>
    <n v="125.757235632"/>
    <n v="2"/>
    <n v="285.87966721734199"/>
    <x v="3"/>
  </r>
  <r>
    <s v="3/3/2023"/>
    <d v="2023-03-03T00:00:00"/>
    <s v="Friday"/>
    <x v="2"/>
    <x v="0"/>
    <x v="1"/>
    <n v="816.16339285468405"/>
    <n v="9"/>
    <n v="92.48192177"/>
    <x v="2"/>
  </r>
  <r>
    <s v="3/3/2023"/>
    <d v="2023-03-03T00:00:00"/>
    <s v="Friday"/>
    <x v="2"/>
    <x v="0"/>
    <x v="2"/>
    <n v="883.68953219239995"/>
    <n v="12"/>
    <n v="97.759666053159194"/>
    <x v="1"/>
  </r>
  <r>
    <s v="3/3/2023"/>
    <d v="2023-03-03T00:00:00"/>
    <s v="Friday"/>
    <x v="2"/>
    <x v="0"/>
    <x v="3"/>
    <n v="1197.5632818183999"/>
    <n v="2"/>
    <n v="266.50089927242101"/>
    <x v="1"/>
  </r>
  <r>
    <s v="3/3/2023"/>
    <d v="2023-03-03T00:00:00"/>
    <s v="Friday"/>
    <x v="2"/>
    <x v="0"/>
    <x v="4"/>
    <n v="163.613616299"/>
    <n v="6"/>
    <n v="285.22651244799499"/>
    <x v="0"/>
  </r>
  <r>
    <s v="3/4/2023"/>
    <d v="2023-03-04T00:00:00"/>
    <s v="Saturday"/>
    <x v="2"/>
    <x v="0"/>
    <x v="0"/>
    <n v="113.67764934109999"/>
    <n v="5"/>
    <n v="168.32620210715999"/>
    <x v="0"/>
  </r>
  <r>
    <s v="3/4/2023"/>
    <d v="2023-03-04T00:00:00"/>
    <s v="Saturday"/>
    <x v="2"/>
    <x v="0"/>
    <x v="1"/>
    <n v="81.723613781500006"/>
    <n v="5"/>
    <n v="322.20765463763598"/>
    <x v="2"/>
  </r>
  <r>
    <s v="3/4/2023"/>
    <d v="2023-03-04T00:00:00"/>
    <s v="Saturday"/>
    <x v="2"/>
    <x v="0"/>
    <x v="2"/>
    <n v="781.46151349589695"/>
    <n v="19"/>
    <n v="0"/>
    <x v="3"/>
  </r>
  <r>
    <s v="3/4/2023"/>
    <d v="2023-03-04T00:00:00"/>
    <s v="Saturday"/>
    <x v="2"/>
    <x v="0"/>
    <x v="3"/>
    <n v="738.93327356945997"/>
    <n v="8"/>
    <n v="224.19586119790799"/>
    <x v="1"/>
  </r>
  <r>
    <s v="3/4/2023"/>
    <d v="2023-03-04T00:00:00"/>
    <s v="Saturday"/>
    <x v="2"/>
    <x v="0"/>
    <x v="4"/>
    <n v="1122.8242536729999"/>
    <n v="19"/>
    <n v="404.719945135746"/>
    <x v="3"/>
  </r>
  <r>
    <s v="3/5/2023"/>
    <d v="2023-03-05T00:00:00"/>
    <s v="Sunday"/>
    <x v="2"/>
    <x v="0"/>
    <x v="0"/>
    <n v="1191.3919814522999"/>
    <n v="1"/>
    <n v="175.37551818310999"/>
    <x v="3"/>
  </r>
  <r>
    <s v="3/5/2023"/>
    <d v="2023-03-05T00:00:00"/>
    <s v="Sunday"/>
    <x v="2"/>
    <x v="0"/>
    <x v="1"/>
    <n v="1246.1446543592001"/>
    <n v="10"/>
    <n v="164.17984251795301"/>
    <x v="1"/>
  </r>
  <r>
    <s v="3/5/2023"/>
    <d v="2023-03-05T00:00:00"/>
    <s v="Sunday"/>
    <x v="2"/>
    <x v="0"/>
    <x v="2"/>
    <n v="1152.1822933218"/>
    <n v="6"/>
    <n v="180.62352849999999"/>
    <x v="0"/>
  </r>
  <r>
    <s v="3/5/2023"/>
    <d v="2023-03-05T00:00:00"/>
    <s v="Sunday"/>
    <x v="2"/>
    <x v="0"/>
    <x v="3"/>
    <n v="888.92989428110002"/>
    <n v="7"/>
    <n v="131.76028459497701"/>
    <x v="3"/>
  </r>
  <r>
    <s v="3/5/2023"/>
    <d v="2023-03-05T00:00:00"/>
    <s v="Sunday"/>
    <x v="2"/>
    <x v="0"/>
    <x v="4"/>
    <n v="749.93233816219004"/>
    <n v="2"/>
    <n v="262.206520729641"/>
    <x v="0"/>
  </r>
  <r>
    <s v="3/6/2023"/>
    <d v="2023-03-06T00:00:00"/>
    <s v="Monday"/>
    <x v="2"/>
    <x v="0"/>
    <x v="0"/>
    <n v="765.37129441825903"/>
    <n v="13"/>
    <n v="218.19057566543799"/>
    <x v="0"/>
  </r>
  <r>
    <s v="3/6/2023"/>
    <d v="2023-03-06T00:00:00"/>
    <s v="Monday"/>
    <x v="2"/>
    <x v="0"/>
    <x v="1"/>
    <n v="815.49459659860997"/>
    <n v="9"/>
    <n v="236.1216149"/>
    <x v="1"/>
  </r>
  <r>
    <s v="3/6/2023"/>
    <d v="2023-03-06T00:00:00"/>
    <s v="Monday"/>
    <x v="2"/>
    <x v="0"/>
    <x v="2"/>
    <n v="933.64848226000004"/>
    <n v="19"/>
    <n v="306.522090072624"/>
    <x v="2"/>
  </r>
  <r>
    <s v="3/6/2023"/>
    <d v="2023-03-06T00:00:00"/>
    <s v="Monday"/>
    <x v="2"/>
    <x v="0"/>
    <x v="3"/>
    <n v="156.9162656741"/>
    <n v="9"/>
    <n v="411.03220010927203"/>
    <x v="1"/>
  </r>
  <r>
    <s v="3/6/2023"/>
    <d v="2023-03-06T00:00:00"/>
    <s v="Monday"/>
    <x v="2"/>
    <x v="0"/>
    <x v="4"/>
    <n v="644.37399859595996"/>
    <n v="5"/>
    <n v="84.253780860000006"/>
    <x v="3"/>
  </r>
  <r>
    <s v="3/7/2023"/>
    <d v="2023-03-07T00:00:00"/>
    <s v="Tuesday"/>
    <x v="2"/>
    <x v="0"/>
    <x v="0"/>
    <n v="88.332252323934"/>
    <n v="4"/>
    <n v="105.948970542319"/>
    <x v="1"/>
  </r>
  <r>
    <s v="3/7/2023"/>
    <d v="2023-03-07T00:00:00"/>
    <s v="Tuesday"/>
    <x v="2"/>
    <x v="0"/>
    <x v="1"/>
    <n v="1147.1258720000001"/>
    <n v="17"/>
    <n v="315.05942610035299"/>
    <x v="0"/>
  </r>
  <r>
    <s v="3/7/2023"/>
    <d v="2023-03-07T00:00:00"/>
    <s v="Tuesday"/>
    <x v="2"/>
    <x v="0"/>
    <x v="2"/>
    <n v="818.86592828137896"/>
    <n v="18"/>
    <n v="295.98813156854402"/>
    <x v="3"/>
  </r>
  <r>
    <s v="3/7/2023"/>
    <d v="2023-03-07T00:00:00"/>
    <s v="Tuesday"/>
    <x v="2"/>
    <x v="0"/>
    <x v="3"/>
    <n v="824.35573443597002"/>
    <n v="3"/>
    <n v="229.344557157927"/>
    <x v="3"/>
  </r>
  <r>
    <s v="3/7/2023"/>
    <d v="2023-03-07T00:00:00"/>
    <s v="Tuesday"/>
    <x v="2"/>
    <x v="0"/>
    <x v="4"/>
    <n v="1573.24137653763"/>
    <n v="7"/>
    <n v="188.29786746170601"/>
    <x v="0"/>
  </r>
  <r>
    <s v="3/8/2023"/>
    <d v="2023-03-08T00:00:00"/>
    <s v="Wednesday"/>
    <x v="2"/>
    <x v="0"/>
    <x v="0"/>
    <n v="96.688477930999994"/>
    <n v="19"/>
    <n v="168.843521708422"/>
    <x v="1"/>
  </r>
  <r>
    <s v="3/8/2023"/>
    <d v="2023-03-08T00:00:00"/>
    <s v="Wednesday"/>
    <x v="2"/>
    <x v="0"/>
    <x v="1"/>
    <n v="389.427927812348"/>
    <n v="2"/>
    <n v="70.910152474515897"/>
    <x v="0"/>
  </r>
  <r>
    <s v="3/8/2023"/>
    <d v="2023-03-08T00:00:00"/>
    <s v="Wednesday"/>
    <x v="2"/>
    <x v="0"/>
    <x v="2"/>
    <n v="126.68568178291"/>
    <n v="11"/>
    <n v="170.66686830518401"/>
    <x v="2"/>
  </r>
  <r>
    <s v="3/8/2023"/>
    <d v="2023-03-08T00:00:00"/>
    <s v="Wednesday"/>
    <x v="2"/>
    <x v="0"/>
    <x v="3"/>
    <n v="1349.7741146114199"/>
    <n v="15"/>
    <n v="410.53351434661698"/>
    <x v="2"/>
  </r>
  <r>
    <s v="3/8/2023"/>
    <d v="2023-03-08T00:00:00"/>
    <s v="Wednesday"/>
    <x v="2"/>
    <x v="0"/>
    <x v="4"/>
    <n v="1129.2527331199999"/>
    <n v="5"/>
    <n v="329.24223240669102"/>
    <x v="2"/>
  </r>
  <r>
    <s v="3/9/2023"/>
    <d v="2023-03-09T00:00:00"/>
    <s v="Thursday"/>
    <x v="2"/>
    <x v="0"/>
    <x v="0"/>
    <n v="172.99229923850001"/>
    <n v="19"/>
    <n v="195.568470060126"/>
    <x v="1"/>
  </r>
  <r>
    <s v="3/9/2023"/>
    <d v="2023-03-09T00:00:00"/>
    <s v="Thursday"/>
    <x v="2"/>
    <x v="0"/>
    <x v="1"/>
    <n v="665.24258723845003"/>
    <n v="6"/>
    <n v="112.38004326924001"/>
    <x v="0"/>
  </r>
  <r>
    <s v="3/9/2023"/>
    <d v="2023-03-09T00:00:00"/>
    <s v="Thursday"/>
    <x v="2"/>
    <x v="0"/>
    <x v="2"/>
    <n v="648.59797877999995"/>
    <n v="3"/>
    <n v="70.917752441820099"/>
    <x v="0"/>
  </r>
  <r>
    <s v="3/9/2023"/>
    <d v="2023-03-09T00:00:00"/>
    <s v="Thursday"/>
    <x v="2"/>
    <x v="0"/>
    <x v="3"/>
    <n v="115.72663875712"/>
    <n v="12"/>
    <n v="278.43323748183599"/>
    <x v="3"/>
  </r>
  <r>
    <s v="3/9/2023"/>
    <d v="2023-03-09T00:00:00"/>
    <s v="Thursday"/>
    <x v="2"/>
    <x v="0"/>
    <x v="4"/>
    <n v="1516.2498913586001"/>
    <n v="14"/>
    <n v="244.283459014882"/>
    <x v="0"/>
  </r>
  <r>
    <s v="3/10/2023"/>
    <d v="2023-03-10T00:00:00"/>
    <s v="Friday"/>
    <x v="2"/>
    <x v="0"/>
    <x v="0"/>
    <n v="1212.3146623748801"/>
    <n v="14"/>
    <n v="314.11838856900101"/>
    <x v="1"/>
  </r>
  <r>
    <s v="3/10/2023"/>
    <d v="2023-03-10T00:00:00"/>
    <s v="Friday"/>
    <x v="2"/>
    <x v="0"/>
    <x v="1"/>
    <n v="1216.7622487199999"/>
    <n v="3"/>
    <n v="412.53020375469498"/>
    <x v="3"/>
  </r>
  <r>
    <s v="3/10/2023"/>
    <d v="2023-03-10T00:00:00"/>
    <s v="Friday"/>
    <x v="2"/>
    <x v="0"/>
    <x v="2"/>
    <n v="1374.7653"/>
    <n v="14"/>
    <n v="384.24306550277601"/>
    <x v="2"/>
  </r>
  <r>
    <s v="3/10/2023"/>
    <d v="2023-03-10T00:00:00"/>
    <s v="Friday"/>
    <x v="2"/>
    <x v="0"/>
    <x v="3"/>
    <n v="1147.4213715840001"/>
    <n v="12"/>
    <n v="199.95192751489401"/>
    <x v="0"/>
  </r>
  <r>
    <s v="3/10/2023"/>
    <d v="2023-03-10T00:00:00"/>
    <s v="Friday"/>
    <x v="2"/>
    <x v="0"/>
    <x v="4"/>
    <n v="987.95261486695995"/>
    <n v="2"/>
    <n v="335.18044116188599"/>
    <x v="1"/>
  </r>
  <r>
    <s v="3/11/2023"/>
    <d v="2023-03-11T00:00:00"/>
    <s v="Saturday"/>
    <x v="2"/>
    <x v="0"/>
    <x v="0"/>
    <n v="57.767469364584997"/>
    <n v="13"/>
    <n v="82.689476400846999"/>
    <x v="0"/>
  </r>
  <r>
    <s v="3/11/2023"/>
    <d v="2023-03-11T00:00:00"/>
    <s v="Saturday"/>
    <x v="2"/>
    <x v="0"/>
    <x v="1"/>
    <n v="948.89536399240001"/>
    <n v="14"/>
    <n v="372.03977284320803"/>
    <x v="2"/>
  </r>
  <r>
    <s v="3/11/2023"/>
    <d v="2023-03-11T00:00:00"/>
    <s v="Saturday"/>
    <x v="2"/>
    <x v="0"/>
    <x v="2"/>
    <n v="793.55292969918003"/>
    <n v="11"/>
    <n v="244.80650839056099"/>
    <x v="0"/>
  </r>
  <r>
    <s v="3/11/2023"/>
    <d v="2023-03-11T00:00:00"/>
    <s v="Saturday"/>
    <x v="2"/>
    <x v="0"/>
    <x v="3"/>
    <n v="1281.954431589"/>
    <n v="9"/>
    <n v="221.28264728609699"/>
    <x v="0"/>
  </r>
  <r>
    <s v="3/11/2023"/>
    <d v="2023-03-11T00:00:00"/>
    <s v="Saturday"/>
    <x v="2"/>
    <x v="0"/>
    <x v="4"/>
    <n v="1253.84634138"/>
    <n v="14"/>
    <n v="178.97885360000001"/>
    <x v="3"/>
  </r>
  <r>
    <s v="3/12/2023"/>
    <d v="2023-03-12T00:00:00"/>
    <s v="Sunday"/>
    <x v="2"/>
    <x v="0"/>
    <x v="0"/>
    <n v="558.24748658769704"/>
    <n v="1"/>
    <n v="149.55148993737399"/>
    <x v="3"/>
  </r>
  <r>
    <s v="3/12/2023"/>
    <d v="2023-03-12T00:00:00"/>
    <s v="Sunday"/>
    <x v="2"/>
    <x v="0"/>
    <x v="1"/>
    <n v="973.91311957742005"/>
    <n v="18"/>
    <n v="192.61213001855"/>
    <x v="2"/>
  </r>
  <r>
    <s v="3/12/2023"/>
    <d v="2023-03-12T00:00:00"/>
    <s v="Sunday"/>
    <x v="2"/>
    <x v="0"/>
    <x v="2"/>
    <n v="781.46151349589695"/>
    <n v="1"/>
    <n v="453.971936779788"/>
    <x v="2"/>
  </r>
  <r>
    <s v="3/12/2023"/>
    <d v="2023-03-12T00:00:00"/>
    <s v="Sunday"/>
    <x v="2"/>
    <x v="0"/>
    <x v="3"/>
    <n v="127.4757216812"/>
    <n v="7"/>
    <n v="143.656236707061"/>
    <x v="1"/>
  </r>
  <r>
    <s v="3/12/2023"/>
    <d v="2023-03-12T00:00:00"/>
    <s v="Sunday"/>
    <x v="2"/>
    <x v="0"/>
    <x v="4"/>
    <n v="1189.6348338509999"/>
    <n v="15"/>
    <n v="190.39519359688899"/>
    <x v="1"/>
  </r>
  <r>
    <s v="3/13/2023"/>
    <d v="2023-03-13T00:00:00"/>
    <s v="Monday"/>
    <x v="2"/>
    <x v="0"/>
    <x v="0"/>
    <n v="76.375600000000006"/>
    <n v="12"/>
    <n v="92.796076354245201"/>
    <x v="1"/>
  </r>
  <r>
    <s v="3/13/2023"/>
    <d v="2023-03-13T00:00:00"/>
    <s v="Monday"/>
    <x v="2"/>
    <x v="0"/>
    <x v="1"/>
    <n v="792.354336376932"/>
    <n v="9"/>
    <n v="472.36354590000002"/>
    <x v="3"/>
  </r>
  <r>
    <s v="3/13/2023"/>
    <d v="2023-03-13T00:00:00"/>
    <s v="Monday"/>
    <x v="2"/>
    <x v="0"/>
    <x v="2"/>
    <n v="1414.9435261680001"/>
    <n v="8"/>
    <n v="444.61214899894298"/>
    <x v="2"/>
  </r>
  <r>
    <s v="3/13/2023"/>
    <d v="2023-03-13T00:00:00"/>
    <s v="Monday"/>
    <x v="2"/>
    <x v="0"/>
    <x v="3"/>
    <n v="1155.428315352"/>
    <n v="7"/>
    <n v="344.59945909999999"/>
    <x v="3"/>
  </r>
  <r>
    <s v="3/13/2023"/>
    <d v="2023-03-13T00:00:00"/>
    <s v="Monday"/>
    <x v="2"/>
    <x v="0"/>
    <x v="4"/>
    <n v="1392.3959911423001"/>
    <n v="4"/>
    <n v="388.816497894051"/>
    <x v="2"/>
  </r>
  <r>
    <s v="3/14/2023"/>
    <d v="2023-03-14T00:00:00"/>
    <s v="Tuesday"/>
    <x v="2"/>
    <x v="0"/>
    <x v="0"/>
    <n v="1622.57826178757"/>
    <n v="9"/>
    <n v="242.088424018159"/>
    <x v="2"/>
  </r>
  <r>
    <s v="3/14/2023"/>
    <d v="2023-03-14T00:00:00"/>
    <s v="Tuesday"/>
    <x v="2"/>
    <x v="0"/>
    <x v="1"/>
    <n v="793.24365457312899"/>
    <n v="11"/>
    <n v="251.813586243163"/>
    <x v="3"/>
  </r>
  <r>
    <s v="3/14/2023"/>
    <d v="2023-03-14T00:00:00"/>
    <s v="Tuesday"/>
    <x v="2"/>
    <x v="0"/>
    <x v="2"/>
    <n v="84.574598915665007"/>
    <n v="13"/>
    <n v="229.080576993476"/>
    <x v="1"/>
  </r>
  <r>
    <s v="3/14/2023"/>
    <d v="2023-03-14T00:00:00"/>
    <s v="Tuesday"/>
    <x v="2"/>
    <x v="0"/>
    <x v="3"/>
    <n v="746.15692945599994"/>
    <n v="14"/>
    <n v="171.880443402552"/>
    <x v="3"/>
  </r>
  <r>
    <s v="3/14/2023"/>
    <d v="2023-03-14T00:00:00"/>
    <s v="Tuesday"/>
    <x v="2"/>
    <x v="0"/>
    <x v="4"/>
    <n v="944.18348457135005"/>
    <n v="19"/>
    <n v="140.21284752101801"/>
    <x v="2"/>
  </r>
  <r>
    <s v="3/15/2023"/>
    <d v="2023-03-15T00:00:00"/>
    <s v="Wednesday"/>
    <x v="2"/>
    <x v="0"/>
    <x v="0"/>
    <n v="1312.8295527533201"/>
    <n v="18"/>
    <n v="388.56985448801998"/>
    <x v="0"/>
  </r>
  <r>
    <s v="3/15/2023"/>
    <d v="2023-03-15T00:00:00"/>
    <s v="Wednesday"/>
    <x v="2"/>
    <x v="0"/>
    <x v="1"/>
    <n v="661.65183384967997"/>
    <n v="3"/>
    <n v="109.945585219197"/>
    <x v="2"/>
  </r>
  <r>
    <s v="3/15/2023"/>
    <d v="2023-03-15T00:00:00"/>
    <s v="Wednesday"/>
    <x v="2"/>
    <x v="0"/>
    <x v="2"/>
    <n v="781.46151349589695"/>
    <n v="15"/>
    <n v="207.31960464831201"/>
    <x v="3"/>
  </r>
  <r>
    <s v="3/15/2023"/>
    <d v="2023-03-15T00:00:00"/>
    <s v="Wednesday"/>
    <x v="2"/>
    <x v="0"/>
    <x v="3"/>
    <n v="1339.3758371193201"/>
    <n v="5"/>
    <n v="272.93867478136798"/>
    <x v="3"/>
  </r>
  <r>
    <s v="3/15/2023"/>
    <d v="2023-03-15T00:00:00"/>
    <s v="Wednesday"/>
    <x v="2"/>
    <x v="0"/>
    <x v="4"/>
    <n v="917.57575144767395"/>
    <n v="18"/>
    <n v="330.42769811977399"/>
    <x v="3"/>
  </r>
  <r>
    <s v="3/16/2023"/>
    <d v="2023-03-16T00:00:00"/>
    <s v="Thursday"/>
    <x v="2"/>
    <x v="0"/>
    <x v="0"/>
    <n v="877.16342656537995"/>
    <n v="2"/>
    <n v="215.782801520974"/>
    <x v="2"/>
  </r>
  <r>
    <s v="3/16/2023"/>
    <d v="2023-03-16T00:00:00"/>
    <s v="Thursday"/>
    <x v="2"/>
    <x v="0"/>
    <x v="1"/>
    <n v="122.98483163752999"/>
    <n v="15"/>
    <n v="378.71978657710599"/>
    <x v="2"/>
  </r>
  <r>
    <s v="3/16/2023"/>
    <d v="2023-03-16T00:00:00"/>
    <s v="Thursday"/>
    <x v="2"/>
    <x v="0"/>
    <x v="2"/>
    <n v="733.53677336582496"/>
    <n v="3"/>
    <n v="210.44434662314899"/>
    <x v="3"/>
  </r>
  <r>
    <s v="3/16/2023"/>
    <d v="2023-03-16T00:00:00"/>
    <s v="Thursday"/>
    <x v="2"/>
    <x v="0"/>
    <x v="3"/>
    <n v="591.88124346630002"/>
    <n v="15"/>
    <n v="100.920980659699"/>
    <x v="2"/>
  </r>
  <r>
    <s v="3/16/2023"/>
    <d v="2023-03-16T00:00:00"/>
    <s v="Thursday"/>
    <x v="2"/>
    <x v="0"/>
    <x v="4"/>
    <n v="1148.2955884820001"/>
    <n v="10"/>
    <n v="196.645724641258"/>
    <x v="2"/>
  </r>
  <r>
    <s v="3/17/2023"/>
    <d v="2023-03-17T00:00:00"/>
    <s v="Friday"/>
    <x v="2"/>
    <x v="0"/>
    <x v="0"/>
    <n v="178.22129747170001"/>
    <n v="2"/>
    <n v="166.35913372867401"/>
    <x v="0"/>
  </r>
  <r>
    <s v="3/17/2023"/>
    <d v="2023-03-17T00:00:00"/>
    <s v="Friday"/>
    <x v="2"/>
    <x v="0"/>
    <x v="1"/>
    <n v="967.82213000000002"/>
    <n v="15"/>
    <n v="268.92853990038401"/>
    <x v="1"/>
  </r>
  <r>
    <s v="3/17/2023"/>
    <d v="2023-03-17T00:00:00"/>
    <s v="Friday"/>
    <x v="2"/>
    <x v="0"/>
    <x v="2"/>
    <n v="779.21442423999099"/>
    <n v="2"/>
    <n v="100.19018474592799"/>
    <x v="0"/>
  </r>
  <r>
    <s v="3/17/2023"/>
    <d v="2023-03-17T00:00:00"/>
    <s v="Friday"/>
    <x v="2"/>
    <x v="0"/>
    <x v="3"/>
    <n v="1112.2841667319001"/>
    <n v="2"/>
    <n v="397.52572069637802"/>
    <x v="0"/>
  </r>
  <r>
    <s v="3/17/2023"/>
    <d v="2023-03-17T00:00:00"/>
    <s v="Friday"/>
    <x v="2"/>
    <x v="0"/>
    <x v="4"/>
    <n v="973.94656686942005"/>
    <n v="1"/>
    <n v="323.39110528259403"/>
    <x v="3"/>
  </r>
  <r>
    <s v="3/18/2023"/>
    <d v="2023-03-18T00:00:00"/>
    <s v="Saturday"/>
    <x v="2"/>
    <x v="0"/>
    <x v="0"/>
    <n v="578.11461142514997"/>
    <n v="11"/>
    <n v="211.07710282903699"/>
    <x v="2"/>
  </r>
  <r>
    <s v="3/18/2023"/>
    <d v="2023-03-18T00:00:00"/>
    <s v="Saturday"/>
    <x v="2"/>
    <x v="0"/>
    <x v="1"/>
    <n v="834.21161528138998"/>
    <n v="14"/>
    <n v="166.23068378116"/>
    <x v="0"/>
  </r>
  <r>
    <s v="3/18/2023"/>
    <d v="2023-03-18T00:00:00"/>
    <s v="Saturday"/>
    <x v="2"/>
    <x v="0"/>
    <x v="2"/>
    <n v="1298.884583414"/>
    <n v="1"/>
    <n v="305.01619672796397"/>
    <x v="3"/>
  </r>
  <r>
    <s v="3/18/2023"/>
    <d v="2023-03-18T00:00:00"/>
    <s v="Saturday"/>
    <x v="2"/>
    <x v="0"/>
    <x v="3"/>
    <n v="851.87325516600004"/>
    <n v="11"/>
    <n v="327.60907410842799"/>
    <x v="0"/>
  </r>
  <r>
    <s v="3/18/2023"/>
    <d v="2023-03-18T00:00:00"/>
    <s v="Saturday"/>
    <x v="2"/>
    <x v="0"/>
    <x v="4"/>
    <n v="895.44359677642001"/>
    <n v="11"/>
    <n v="287.35370839731598"/>
    <x v="0"/>
  </r>
  <r>
    <s v="3/19/2023"/>
    <d v="2023-03-19T00:00:00"/>
    <s v="Sunday"/>
    <x v="2"/>
    <x v="0"/>
    <x v="0"/>
    <n v="895.22268874471001"/>
    <n v="12"/>
    <n v="216.99236748971899"/>
    <x v="0"/>
  </r>
  <r>
    <s v="3/19/2023"/>
    <d v="2023-03-19T00:00:00"/>
    <s v="Sunday"/>
    <x v="2"/>
    <x v="0"/>
    <x v="1"/>
    <n v="859.68616835774196"/>
    <n v="15"/>
    <n v="309.90085990762799"/>
    <x v="3"/>
  </r>
  <r>
    <s v="3/19/2023"/>
    <d v="2023-03-19T00:00:00"/>
    <s v="Sunday"/>
    <x v="2"/>
    <x v="0"/>
    <x v="2"/>
    <n v="1537.3431365878"/>
    <n v="18"/>
    <n v="608.80001783071998"/>
    <x v="0"/>
  </r>
  <r>
    <s v="3/19/2023"/>
    <d v="2023-03-19T00:00:00"/>
    <s v="Sunday"/>
    <x v="2"/>
    <x v="0"/>
    <x v="3"/>
    <n v="1218.2888639190001"/>
    <n v="1"/>
    <n v="166.45843080253701"/>
    <x v="2"/>
  </r>
  <r>
    <s v="3/19/2023"/>
    <d v="2023-03-19T00:00:00"/>
    <s v="Sunday"/>
    <x v="2"/>
    <x v="0"/>
    <x v="4"/>
    <n v="115.58376574218001"/>
    <n v="5"/>
    <n v="386.086868684281"/>
    <x v="0"/>
  </r>
  <r>
    <s v="3/20/2023"/>
    <d v="2023-03-20T00:00:00"/>
    <s v="Monday"/>
    <x v="2"/>
    <x v="0"/>
    <x v="0"/>
    <n v="157.28132523199"/>
    <n v="12"/>
    <n v="152.780281353905"/>
    <x v="0"/>
  </r>
  <r>
    <s v="3/20/2023"/>
    <d v="2023-03-20T00:00:00"/>
    <s v="Monday"/>
    <x v="2"/>
    <x v="0"/>
    <x v="1"/>
    <n v="731.63132758639995"/>
    <n v="18"/>
    <n v="284.99633889118701"/>
    <x v="1"/>
  </r>
  <r>
    <s v="3/20/2023"/>
    <d v="2023-03-20T00:00:00"/>
    <s v="Monday"/>
    <x v="2"/>
    <x v="0"/>
    <x v="2"/>
    <n v="12.3267182864"/>
    <n v="15"/>
    <n v="261.73303789465598"/>
    <x v="1"/>
  </r>
  <r>
    <s v="3/20/2023"/>
    <d v="2023-03-20T00:00:00"/>
    <s v="Monday"/>
    <x v="2"/>
    <x v="0"/>
    <x v="3"/>
    <n v="112.3434239446"/>
    <n v="12"/>
    <n v="290.84323405529"/>
    <x v="1"/>
  </r>
  <r>
    <s v="3/20/2023"/>
    <d v="2023-03-20T00:00:00"/>
    <s v="Monday"/>
    <x v="2"/>
    <x v="0"/>
    <x v="4"/>
    <n v="718.45962693824504"/>
    <n v="8"/>
    <n v="280.89875673656599"/>
    <x v="0"/>
  </r>
  <r>
    <s v="3/21/2023"/>
    <d v="2023-03-21T00:00:00"/>
    <s v="Tuesday"/>
    <x v="2"/>
    <x v="0"/>
    <x v="0"/>
    <n v="1193.2844785279001"/>
    <n v="8"/>
    <n v="175.23222358088401"/>
    <x v="2"/>
  </r>
  <r>
    <s v="3/21/2023"/>
    <d v="2023-03-21T00:00:00"/>
    <s v="Tuesday"/>
    <x v="2"/>
    <x v="0"/>
    <x v="1"/>
    <n v="942.7952798"/>
    <n v="2"/>
    <n v="281.41468503921101"/>
    <x v="1"/>
  </r>
  <r>
    <s v="3/21/2023"/>
    <d v="2023-03-21T00:00:00"/>
    <s v="Tuesday"/>
    <x v="2"/>
    <x v="0"/>
    <x v="2"/>
    <n v="165.22986195390999"/>
    <n v="11"/>
    <n v="324.86784705197101"/>
    <x v="2"/>
  </r>
  <r>
    <s v="3/21/2023"/>
    <d v="2023-03-21T00:00:00"/>
    <s v="Tuesday"/>
    <x v="2"/>
    <x v="0"/>
    <x v="3"/>
    <n v="12.5443885873"/>
    <n v="15"/>
    <n v="325.56606657992802"/>
    <x v="3"/>
  </r>
  <r>
    <s v="3/21/2023"/>
    <d v="2023-03-21T00:00:00"/>
    <s v="Tuesday"/>
    <x v="2"/>
    <x v="0"/>
    <x v="4"/>
    <n v="844.93941099999995"/>
    <n v="8"/>
    <n v="286.138492224873"/>
    <x v="3"/>
  </r>
  <r>
    <s v="3/22/2023"/>
    <d v="2023-03-22T00:00:00"/>
    <s v="Wednesday"/>
    <x v="2"/>
    <x v="0"/>
    <x v="0"/>
    <n v="677.18475466999996"/>
    <n v="16"/>
    <n v="235.63162032358699"/>
    <x v="3"/>
  </r>
  <r>
    <s v="3/22/2023"/>
    <d v="2023-03-22T00:00:00"/>
    <s v="Wednesday"/>
    <x v="2"/>
    <x v="0"/>
    <x v="1"/>
    <n v="792.354336376932"/>
    <n v="5"/>
    <n v="327.92937848588298"/>
    <x v="2"/>
  </r>
  <r>
    <s v="3/22/2023"/>
    <d v="2023-03-22T00:00:00"/>
    <s v="Wednesday"/>
    <x v="2"/>
    <x v="0"/>
    <x v="2"/>
    <n v="131.5427719834"/>
    <n v="9"/>
    <n v="165.48401614764001"/>
    <x v="1"/>
  </r>
  <r>
    <s v="3/22/2023"/>
    <d v="2023-03-22T00:00:00"/>
    <s v="Wednesday"/>
    <x v="2"/>
    <x v="0"/>
    <x v="3"/>
    <n v="924.28598696664994"/>
    <n v="9"/>
    <n v="122.683149801122"/>
    <x v="2"/>
  </r>
  <r>
    <s v="3/22/2023"/>
    <d v="2023-03-22T00:00:00"/>
    <s v="Wednesday"/>
    <x v="2"/>
    <x v="0"/>
    <x v="4"/>
    <n v="494.56438155386098"/>
    <n v="6"/>
    <n v="114.46776881056"/>
    <x v="2"/>
  </r>
  <r>
    <s v="3/23/2023"/>
    <d v="2023-03-23T00:00:00"/>
    <s v="Thursday"/>
    <x v="2"/>
    <x v="0"/>
    <x v="0"/>
    <n v="719.88332417793299"/>
    <n v="18"/>
    <n v="261.58209416891998"/>
    <x v="1"/>
  </r>
  <r>
    <s v="3/23/2023"/>
    <d v="2023-03-23T00:00:00"/>
    <s v="Thursday"/>
    <x v="2"/>
    <x v="0"/>
    <x v="1"/>
    <n v="1386.9269585126101"/>
    <n v="7"/>
    <n v="141.08874829819101"/>
    <x v="1"/>
  </r>
  <r>
    <s v="3/23/2023"/>
    <d v="2023-03-23T00:00:00"/>
    <s v="Thursday"/>
    <x v="2"/>
    <x v="0"/>
    <x v="2"/>
    <n v="781.46151349589695"/>
    <n v="1"/>
    <n v="193.475091118476"/>
    <x v="1"/>
  </r>
  <r>
    <s v="3/23/2023"/>
    <d v="2023-03-23T00:00:00"/>
    <s v="Thursday"/>
    <x v="2"/>
    <x v="0"/>
    <x v="3"/>
    <n v="394.13333536849001"/>
    <n v="1"/>
    <n v="67.500551705904499"/>
    <x v="0"/>
  </r>
  <r>
    <s v="3/23/2023"/>
    <d v="2023-03-23T00:00:00"/>
    <s v="Thursday"/>
    <x v="2"/>
    <x v="0"/>
    <x v="4"/>
    <n v="1321.4227311211"/>
    <n v="3"/>
    <n v="222.23763518966001"/>
    <x v="2"/>
  </r>
  <r>
    <s v="3/24/2023"/>
    <d v="2023-03-24T00:00:00"/>
    <s v="Friday"/>
    <x v="2"/>
    <x v="0"/>
    <x v="0"/>
    <n v="836.92212288292001"/>
    <n v="14"/>
    <n v="183.929457591627"/>
    <x v="2"/>
  </r>
  <r>
    <s v="3/24/2023"/>
    <d v="2023-03-24T00:00:00"/>
    <s v="Friday"/>
    <x v="2"/>
    <x v="0"/>
    <x v="1"/>
    <n v="193.62382564590001"/>
    <n v="9"/>
    <n v="233.965215918246"/>
    <x v="2"/>
  </r>
  <r>
    <s v="3/24/2023"/>
    <d v="2023-03-24T00:00:00"/>
    <s v="Friday"/>
    <x v="2"/>
    <x v="0"/>
    <x v="2"/>
    <n v="51.79798977542"/>
    <n v="4"/>
    <n v="144.23480878948101"/>
    <x v="3"/>
  </r>
  <r>
    <s v="3/24/2023"/>
    <d v="2023-03-24T00:00:00"/>
    <s v="Friday"/>
    <x v="2"/>
    <x v="0"/>
    <x v="3"/>
    <n v="151.2912914746"/>
    <n v="6"/>
    <n v="340.68431000235398"/>
    <x v="3"/>
  </r>
  <r>
    <s v="3/24/2023"/>
    <d v="2023-03-24T00:00:00"/>
    <s v="Friday"/>
    <x v="2"/>
    <x v="0"/>
    <x v="4"/>
    <n v="1227.6785769362"/>
    <n v="4"/>
    <n v="464.197992911423"/>
    <x v="1"/>
  </r>
  <r>
    <s v="3/25/2023"/>
    <d v="2023-03-25T00:00:00"/>
    <s v="Saturday"/>
    <x v="2"/>
    <x v="0"/>
    <x v="0"/>
    <n v="836.92212288292001"/>
    <n v="4"/>
    <n v="412.414536489451"/>
    <x v="2"/>
  </r>
  <r>
    <s v="3/25/2023"/>
    <d v="2023-03-25T00:00:00"/>
    <s v="Saturday"/>
    <x v="2"/>
    <x v="0"/>
    <x v="1"/>
    <n v="859.95551626365"/>
    <n v="4"/>
    <n v="152.24047938381"/>
    <x v="3"/>
  </r>
  <r>
    <s v="3/25/2023"/>
    <d v="2023-03-25T00:00:00"/>
    <s v="Saturday"/>
    <x v="2"/>
    <x v="0"/>
    <x v="2"/>
    <n v="871.82595229547996"/>
    <n v="14"/>
    <n v="167.549116196174"/>
    <x v="1"/>
  </r>
  <r>
    <s v="3/25/2023"/>
    <d v="2023-03-25T00:00:00"/>
    <s v="Saturday"/>
    <x v="2"/>
    <x v="0"/>
    <x v="3"/>
    <n v="1736.73285986876"/>
    <n v="10"/>
    <n v="491.66930707610499"/>
    <x v="2"/>
  </r>
  <r>
    <s v="3/25/2023"/>
    <d v="2023-03-25T00:00:00"/>
    <s v="Saturday"/>
    <x v="2"/>
    <x v="0"/>
    <x v="4"/>
    <n v="1293.6686197381"/>
    <n v="2"/>
    <n v="235.17229500033099"/>
    <x v="3"/>
  </r>
  <r>
    <s v="3/26/2023"/>
    <d v="2023-03-26T00:00:00"/>
    <s v="Sunday"/>
    <x v="2"/>
    <x v="0"/>
    <x v="0"/>
    <n v="127.4323826769"/>
    <n v="7"/>
    <n v="312.68334752305702"/>
    <x v="2"/>
  </r>
  <r>
    <s v="3/26/2023"/>
    <d v="2023-03-26T00:00:00"/>
    <s v="Sunday"/>
    <x v="2"/>
    <x v="0"/>
    <x v="1"/>
    <n v="1394.327274384"/>
    <n v="7"/>
    <n v="359.10593008349298"/>
    <x v="1"/>
  </r>
  <r>
    <s v="3/26/2023"/>
    <d v="2023-03-26T00:00:00"/>
    <s v="Sunday"/>
    <x v="2"/>
    <x v="0"/>
    <x v="2"/>
    <n v="1284.6819969512701"/>
    <n v="10"/>
    <n v="482.17422984383501"/>
    <x v="3"/>
  </r>
  <r>
    <s v="3/26/2023"/>
    <d v="2023-03-26T00:00:00"/>
    <s v="Sunday"/>
    <x v="2"/>
    <x v="0"/>
    <x v="3"/>
    <n v="81.366244952676993"/>
    <n v="4"/>
    <n v="101.061650479302"/>
    <x v="2"/>
  </r>
  <r>
    <s v="3/26/2023"/>
    <d v="2023-03-26T00:00:00"/>
    <s v="Sunday"/>
    <x v="2"/>
    <x v="0"/>
    <x v="4"/>
    <n v="826.31123441748002"/>
    <n v="10"/>
    <n v="110.470597674391"/>
    <x v="0"/>
  </r>
  <r>
    <s v="3/27/2023"/>
    <d v="2023-03-27T00:00:00"/>
    <s v="Monday"/>
    <x v="2"/>
    <x v="0"/>
    <x v="0"/>
    <n v="119.165189548"/>
    <n v="9"/>
    <n v="344.58351129584503"/>
    <x v="1"/>
  </r>
  <r>
    <s v="3/27/2023"/>
    <d v="2023-03-27T00:00:00"/>
    <s v="Monday"/>
    <x v="2"/>
    <x v="0"/>
    <x v="1"/>
    <n v="579.21841846910002"/>
    <n v="10"/>
    <n v="214.31483287964099"/>
    <x v="3"/>
  </r>
  <r>
    <s v="3/27/2023"/>
    <d v="2023-03-27T00:00:00"/>
    <s v="Monday"/>
    <x v="2"/>
    <x v="0"/>
    <x v="2"/>
    <n v="1524.8732295679999"/>
    <n v="17"/>
    <n v="260.846559889422"/>
    <x v="0"/>
  </r>
  <r>
    <s v="3/27/2023"/>
    <d v="2023-03-27T00:00:00"/>
    <s v="Monday"/>
    <x v="2"/>
    <x v="0"/>
    <x v="3"/>
    <n v="132.95514961309999"/>
    <n v="4"/>
    <n v="300.017283434295"/>
    <x v="2"/>
  </r>
  <r>
    <s v="3/27/2023"/>
    <d v="2023-03-27T00:00:00"/>
    <s v="Monday"/>
    <x v="2"/>
    <x v="0"/>
    <x v="4"/>
    <n v="726.11557892796998"/>
    <n v="18"/>
    <n v="239.61584665210901"/>
    <x v="2"/>
  </r>
  <r>
    <s v="3/28/2023"/>
    <d v="2023-03-28T00:00:00"/>
    <s v="Tuesday"/>
    <x v="2"/>
    <x v="0"/>
    <x v="0"/>
    <n v="1666.8868874520001"/>
    <n v="15"/>
    <n v="284.30868386872402"/>
    <x v="3"/>
  </r>
  <r>
    <s v="3/28/2023"/>
    <d v="2023-03-28T00:00:00"/>
    <s v="Tuesday"/>
    <x v="2"/>
    <x v="0"/>
    <x v="1"/>
    <n v="628.65371677386497"/>
    <n v="2"/>
    <n v="152.05095922572599"/>
    <x v="0"/>
  </r>
  <r>
    <s v="3/28/2023"/>
    <d v="2023-03-28T00:00:00"/>
    <s v="Tuesday"/>
    <x v="2"/>
    <x v="0"/>
    <x v="2"/>
    <n v="1367.37533128784"/>
    <n v="11"/>
    <n v="231.88515434663401"/>
    <x v="2"/>
  </r>
  <r>
    <s v="3/28/2023"/>
    <d v="2023-03-28T00:00:00"/>
    <s v="Tuesday"/>
    <x v="2"/>
    <x v="0"/>
    <x v="3"/>
    <n v="1487.1896868971"/>
    <n v="13"/>
    <n v="413.90117292666599"/>
    <x v="2"/>
  </r>
  <r>
    <s v="3/28/2023"/>
    <d v="2023-03-28T00:00:00"/>
    <s v="Tuesday"/>
    <x v="2"/>
    <x v="0"/>
    <x v="4"/>
    <n v="869.55227142692604"/>
    <n v="7"/>
    <n v="268.29458492533502"/>
    <x v="1"/>
  </r>
  <r>
    <s v="3/29/2023"/>
    <d v="2023-03-29T00:00:00"/>
    <s v="Wednesday"/>
    <x v="2"/>
    <x v="0"/>
    <x v="0"/>
    <n v="792.73587629999997"/>
    <n v="10"/>
    <n v="181.108346724043"/>
    <x v="1"/>
  </r>
  <r>
    <s v="3/29/2023"/>
    <d v="2023-03-29T00:00:00"/>
    <s v="Wednesday"/>
    <x v="2"/>
    <x v="0"/>
    <x v="1"/>
    <n v="1312.782656994"/>
    <n v="4"/>
    <n v="416.54809477367797"/>
    <x v="2"/>
  </r>
  <r>
    <s v="3/29/2023"/>
    <d v="2023-03-29T00:00:00"/>
    <s v="Wednesday"/>
    <x v="2"/>
    <x v="0"/>
    <x v="2"/>
    <n v="844.43982535373004"/>
    <n v="7"/>
    <n v="280.042667415653"/>
    <x v="3"/>
  </r>
  <r>
    <s v="3/29/2023"/>
    <d v="2023-03-29T00:00:00"/>
    <s v="Wednesday"/>
    <x v="2"/>
    <x v="0"/>
    <x v="3"/>
    <n v="825.49572581545999"/>
    <n v="6"/>
    <n v="170.463952524897"/>
    <x v="3"/>
  </r>
  <r>
    <s v="3/29/2023"/>
    <d v="2023-03-29T00:00:00"/>
    <s v="Wednesday"/>
    <x v="2"/>
    <x v="0"/>
    <x v="4"/>
    <n v="695.57298800000001"/>
    <n v="13"/>
    <n v="177.87048787063699"/>
    <x v="2"/>
  </r>
  <r>
    <s v="3/30/2023"/>
    <d v="2023-03-30T00:00:00"/>
    <s v="Thursday"/>
    <x v="2"/>
    <x v="0"/>
    <x v="0"/>
    <n v="843.72585419899406"/>
    <n v="8"/>
    <n v="307.13622939453802"/>
    <x v="2"/>
  </r>
  <r>
    <s v="3/30/2023"/>
    <d v="2023-03-30T00:00:00"/>
    <s v="Thursday"/>
    <x v="2"/>
    <x v="0"/>
    <x v="1"/>
    <n v="161.62857888144001"/>
    <n v="3"/>
    <n v="275.90382315023101"/>
    <x v="0"/>
  </r>
  <r>
    <s v="3/30/2023"/>
    <d v="2023-03-30T00:00:00"/>
    <s v="Thursday"/>
    <x v="2"/>
    <x v="0"/>
    <x v="2"/>
    <n v="592.82343800000001"/>
    <n v="2"/>
    <n v="236.08707510460599"/>
    <x v="2"/>
  </r>
  <r>
    <s v="3/30/2023"/>
    <d v="2023-03-30T00:00:00"/>
    <s v="Thursday"/>
    <x v="2"/>
    <x v="0"/>
    <x v="3"/>
    <n v="943.27555930000005"/>
    <n v="6"/>
    <n v="252.17059541341001"/>
    <x v="2"/>
  </r>
  <r>
    <s v="3/30/2023"/>
    <d v="2023-03-30T00:00:00"/>
    <s v="Thursday"/>
    <x v="2"/>
    <x v="0"/>
    <x v="4"/>
    <n v="414.66445754534197"/>
    <n v="12"/>
    <n v="52.509050752157698"/>
    <x v="0"/>
  </r>
  <r>
    <s v="3/31/2023"/>
    <d v="2023-03-31T00:00:00"/>
    <s v="Friday"/>
    <x v="2"/>
    <x v="0"/>
    <x v="0"/>
    <n v="811.321332643392"/>
    <n v="13"/>
    <n v="235.67912237360699"/>
    <x v="1"/>
  </r>
  <r>
    <s v="3/31/2023"/>
    <d v="2023-03-31T00:00:00"/>
    <s v="Friday"/>
    <x v="2"/>
    <x v="0"/>
    <x v="1"/>
    <n v="15.882472182000001"/>
    <n v="16"/>
    <n v="105.470678708186"/>
    <x v="3"/>
  </r>
  <r>
    <s v="3/31/2023"/>
    <d v="2023-03-31T00:00:00"/>
    <s v="Friday"/>
    <x v="2"/>
    <x v="0"/>
    <x v="2"/>
    <n v="575.88565928549997"/>
    <n v="12"/>
    <n v="227.11254953904901"/>
    <x v="1"/>
  </r>
  <r>
    <s v="3/31/2023"/>
    <d v="2023-03-31T00:00:00"/>
    <s v="Friday"/>
    <x v="2"/>
    <x v="0"/>
    <x v="3"/>
    <n v="672.36175982259999"/>
    <n v="5"/>
    <n v="215.91386129443001"/>
    <x v="3"/>
  </r>
  <r>
    <s v="3/31/2023"/>
    <d v="2023-03-31T00:00:00"/>
    <s v="Friday"/>
    <x v="2"/>
    <x v="0"/>
    <x v="4"/>
    <n v="849.22161818129996"/>
    <n v="12"/>
    <n v="156.66620738744101"/>
    <x v="2"/>
  </r>
  <r>
    <s v="4/1/2023"/>
    <d v="2023-04-01T00:00:00"/>
    <s v="Saturday"/>
    <x v="3"/>
    <x v="0"/>
    <x v="0"/>
    <n v="1695.7988619944999"/>
    <n v="18"/>
    <n v="570.41687473221998"/>
    <x v="3"/>
  </r>
  <r>
    <s v="4/1/2023"/>
    <d v="2023-04-01T00:00:00"/>
    <s v="Saturday"/>
    <x v="3"/>
    <x v="0"/>
    <x v="1"/>
    <n v="1117.9953518183099"/>
    <n v="1"/>
    <n v="315.885029481304"/>
    <x v="3"/>
  </r>
  <r>
    <s v="4/1/2023"/>
    <d v="2023-04-01T00:00:00"/>
    <s v="Saturday"/>
    <x v="3"/>
    <x v="0"/>
    <x v="2"/>
    <n v="1212.4326365700001"/>
    <n v="14"/>
    <n v="164.035715650675"/>
    <x v="1"/>
  </r>
  <r>
    <s v="4/1/2023"/>
    <d v="2023-04-01T00:00:00"/>
    <s v="Saturday"/>
    <x v="3"/>
    <x v="0"/>
    <x v="3"/>
    <n v="746.15692945599994"/>
    <n v="18"/>
    <n v="260.62269095281101"/>
    <x v="0"/>
  </r>
  <r>
    <s v="4/1/2023"/>
    <d v="2023-04-01T00:00:00"/>
    <s v="Saturday"/>
    <x v="3"/>
    <x v="0"/>
    <x v="4"/>
    <n v="449.13838869109998"/>
    <n v="4"/>
    <n v="162.58854495336701"/>
    <x v="2"/>
  </r>
  <r>
    <s v="4/2/2023"/>
    <d v="2023-04-02T00:00:00"/>
    <s v="Sunday"/>
    <x v="3"/>
    <x v="0"/>
    <x v="0"/>
    <n v="1152.3973987376"/>
    <n v="3"/>
    <n v="387.070449827826"/>
    <x v="1"/>
  </r>
  <r>
    <s v="4/2/2023"/>
    <d v="2023-04-02T00:00:00"/>
    <s v="Sunday"/>
    <x v="3"/>
    <x v="0"/>
    <x v="1"/>
    <n v="124.5488756426"/>
    <n v="3"/>
    <n v="309.712028994158"/>
    <x v="2"/>
  </r>
  <r>
    <s v="4/2/2023"/>
    <d v="2023-04-02T00:00:00"/>
    <s v="Sunday"/>
    <x v="3"/>
    <x v="0"/>
    <x v="2"/>
    <n v="97.3331442657"/>
    <n v="14"/>
    <n v="331.638138941151"/>
    <x v="3"/>
  </r>
  <r>
    <s v="4/2/2023"/>
    <d v="2023-04-02T00:00:00"/>
    <s v="Sunday"/>
    <x v="3"/>
    <x v="0"/>
    <x v="3"/>
    <n v="746.15692945599994"/>
    <n v="15"/>
    <n v="259.20484236961499"/>
    <x v="2"/>
  </r>
  <r>
    <s v="4/2/2023"/>
    <d v="2023-04-02T00:00:00"/>
    <s v="Sunday"/>
    <x v="3"/>
    <x v="0"/>
    <x v="4"/>
    <n v="843.27935973189199"/>
    <n v="2"/>
    <n v="140.89876711784601"/>
    <x v="2"/>
  </r>
  <r>
    <s v="4/3/2023"/>
    <d v="2023-04-03T00:00:00"/>
    <s v="Monday"/>
    <x v="3"/>
    <x v="0"/>
    <x v="0"/>
    <n v="115.167446782"/>
    <n v="2"/>
    <n v="141.876228108475"/>
    <x v="2"/>
  </r>
  <r>
    <s v="4/3/2023"/>
    <d v="2023-04-03T00:00:00"/>
    <s v="Monday"/>
    <x v="3"/>
    <x v="0"/>
    <x v="1"/>
    <n v="151.14917512119999"/>
    <n v="1"/>
    <n v="396.10155366889001"/>
    <x v="2"/>
  </r>
  <r>
    <s v="4/3/2023"/>
    <d v="2023-04-03T00:00:00"/>
    <s v="Monday"/>
    <x v="3"/>
    <x v="0"/>
    <x v="2"/>
    <n v="781.46151349589695"/>
    <n v="3"/>
    <n v="185.58813107585499"/>
    <x v="0"/>
  </r>
  <r>
    <s v="4/3/2023"/>
    <d v="2023-04-03T00:00:00"/>
    <s v="Monday"/>
    <x v="3"/>
    <x v="0"/>
    <x v="3"/>
    <n v="1279.53282922261"/>
    <n v="13"/>
    <n v="269.03499067967499"/>
    <x v="3"/>
  </r>
  <r>
    <s v="4/3/2023"/>
    <d v="2023-04-03T00:00:00"/>
    <s v="Monday"/>
    <x v="3"/>
    <x v="0"/>
    <x v="4"/>
    <n v="1285.23889184"/>
    <n v="15"/>
    <n v="499.87378812754997"/>
    <x v="3"/>
  </r>
  <r>
    <s v="4/4/2023"/>
    <d v="2023-04-04T00:00:00"/>
    <s v="Tuesday"/>
    <x v="3"/>
    <x v="0"/>
    <x v="0"/>
    <n v="836.92212288292001"/>
    <n v="12"/>
    <n v="0"/>
    <x v="3"/>
  </r>
  <r>
    <s v="4/4/2023"/>
    <d v="2023-04-04T00:00:00"/>
    <s v="Tuesday"/>
    <x v="3"/>
    <x v="0"/>
    <x v="1"/>
    <n v="1197.2558822487599"/>
    <n v="18"/>
    <n v="219.48787700302501"/>
    <x v="1"/>
  </r>
  <r>
    <s v="4/4/2023"/>
    <d v="2023-04-04T00:00:00"/>
    <s v="Tuesday"/>
    <x v="3"/>
    <x v="0"/>
    <x v="2"/>
    <n v="142.61528329737999"/>
    <n v="6"/>
    <n v="104.365531118641"/>
    <x v="1"/>
  </r>
  <r>
    <s v="4/4/2023"/>
    <d v="2023-04-04T00:00:00"/>
    <s v="Tuesday"/>
    <x v="3"/>
    <x v="0"/>
    <x v="3"/>
    <n v="1459.2252497310001"/>
    <n v="19"/>
    <n v="315.1025502"/>
    <x v="0"/>
  </r>
  <r>
    <s v="4/4/2023"/>
    <d v="2023-04-04T00:00:00"/>
    <s v="Tuesday"/>
    <x v="3"/>
    <x v="0"/>
    <x v="4"/>
    <n v="1365.6285555919001"/>
    <n v="19"/>
    <n v="215.13393489149499"/>
    <x v="0"/>
  </r>
  <r>
    <s v="4/5/2023"/>
    <d v="2023-04-05T00:00:00"/>
    <s v="Wednesday"/>
    <x v="3"/>
    <x v="0"/>
    <x v="0"/>
    <n v="144.62371662999999"/>
    <n v="9"/>
    <n v="239.31911902152001"/>
    <x v="0"/>
  </r>
  <r>
    <s v="4/5/2023"/>
    <d v="2023-04-05T00:00:00"/>
    <s v="Wednesday"/>
    <x v="3"/>
    <x v="0"/>
    <x v="1"/>
    <n v="898.87428664588003"/>
    <n v="3"/>
    <n v="110.012265457967"/>
    <x v="3"/>
  </r>
  <r>
    <s v="4/5/2023"/>
    <d v="2023-04-05T00:00:00"/>
    <s v="Wednesday"/>
    <x v="3"/>
    <x v="0"/>
    <x v="2"/>
    <n v="815.97929377180003"/>
    <n v="16"/>
    <n v="250.90170459503699"/>
    <x v="0"/>
  </r>
  <r>
    <s v="4/5/2023"/>
    <d v="2023-04-05T00:00:00"/>
    <s v="Wednesday"/>
    <x v="3"/>
    <x v="0"/>
    <x v="3"/>
    <n v="99.259945356100005"/>
    <n v="4"/>
    <n v="263.64593711929001"/>
    <x v="3"/>
  </r>
  <r>
    <s v="4/5/2023"/>
    <d v="2023-04-05T00:00:00"/>
    <s v="Wednesday"/>
    <x v="3"/>
    <x v="0"/>
    <x v="4"/>
    <n v="1131.8145923899999"/>
    <n v="4"/>
    <n v="291.94619220186502"/>
    <x v="1"/>
  </r>
  <r>
    <s v="4/6/2023"/>
    <d v="2023-04-06T00:00:00"/>
    <s v="Thursday"/>
    <x v="3"/>
    <x v="0"/>
    <x v="0"/>
    <n v="1357.1938824358999"/>
    <n v="18"/>
    <n v="188.93918534839699"/>
    <x v="3"/>
  </r>
  <r>
    <s v="4/6/2023"/>
    <d v="2023-04-06T00:00:00"/>
    <s v="Thursday"/>
    <x v="3"/>
    <x v="0"/>
    <x v="1"/>
    <n v="792.354336376932"/>
    <n v="3"/>
    <n v="318.51161985844101"/>
    <x v="3"/>
  </r>
  <r>
    <s v="4/6/2023"/>
    <d v="2023-04-06T00:00:00"/>
    <s v="Thursday"/>
    <x v="3"/>
    <x v="0"/>
    <x v="2"/>
    <n v="682.18433685725699"/>
    <n v="14"/>
    <n v="104.41932562828499"/>
    <x v="0"/>
  </r>
  <r>
    <s v="4/6/2023"/>
    <d v="2023-04-06T00:00:00"/>
    <s v="Thursday"/>
    <x v="3"/>
    <x v="0"/>
    <x v="3"/>
    <n v="827.46879781984001"/>
    <n v="6"/>
    <n v="147.16799906381601"/>
    <x v="2"/>
  </r>
  <r>
    <s v="4/6/2023"/>
    <d v="2023-04-06T00:00:00"/>
    <s v="Thursday"/>
    <x v="3"/>
    <x v="0"/>
    <x v="4"/>
    <n v="222.687312356527"/>
    <n v="7"/>
    <n v="63.618304112298198"/>
    <x v="0"/>
  </r>
  <r>
    <s v="4/7/2023"/>
    <d v="2023-04-07T00:00:00"/>
    <s v="Friday"/>
    <x v="3"/>
    <x v="0"/>
    <x v="0"/>
    <n v="995.47452481100004"/>
    <n v="3"/>
    <n v="178.92973284868501"/>
    <x v="1"/>
  </r>
  <r>
    <s v="4/7/2023"/>
    <d v="2023-04-07T00:00:00"/>
    <s v="Friday"/>
    <x v="3"/>
    <x v="0"/>
    <x v="1"/>
    <n v="792.354336376932"/>
    <n v="4"/>
    <n v="421.85699999893899"/>
    <x v="3"/>
  </r>
  <r>
    <s v="4/7/2023"/>
    <d v="2023-04-07T00:00:00"/>
    <s v="Friday"/>
    <x v="3"/>
    <x v="0"/>
    <x v="2"/>
    <n v="948.11618222973004"/>
    <n v="9"/>
    <n v="269.47774666593699"/>
    <x v="0"/>
  </r>
  <r>
    <s v="4/7/2023"/>
    <d v="2023-04-07T00:00:00"/>
    <s v="Friday"/>
    <x v="3"/>
    <x v="0"/>
    <x v="3"/>
    <n v="1513.512544427"/>
    <n v="6"/>
    <n v="329.51910029999999"/>
    <x v="2"/>
  </r>
  <r>
    <s v="4/7/2023"/>
    <d v="2023-04-07T00:00:00"/>
    <s v="Friday"/>
    <x v="3"/>
    <x v="0"/>
    <x v="4"/>
    <n v="849.22161818129996"/>
    <n v="1"/>
    <n v="273.88468776706497"/>
    <x v="3"/>
  </r>
  <r>
    <s v="4/8/2023"/>
    <d v="2023-04-08T00:00:00"/>
    <s v="Saturday"/>
    <x v="3"/>
    <x v="0"/>
    <x v="0"/>
    <n v="1311.9714621881999"/>
    <n v="1"/>
    <n v="462.15698117454298"/>
    <x v="2"/>
  </r>
  <r>
    <s v="4/8/2023"/>
    <d v="2023-04-08T00:00:00"/>
    <s v="Saturday"/>
    <x v="3"/>
    <x v="0"/>
    <x v="1"/>
    <n v="1242.6787614138"/>
    <n v="11"/>
    <n v="308.97421770563898"/>
    <x v="3"/>
  </r>
  <r>
    <s v="4/8/2023"/>
    <d v="2023-04-08T00:00:00"/>
    <s v="Saturday"/>
    <x v="3"/>
    <x v="0"/>
    <x v="2"/>
    <n v="786.86423549513995"/>
    <n v="8"/>
    <n v="132.26354368946599"/>
    <x v="0"/>
  </r>
  <r>
    <s v="4/8/2023"/>
    <d v="2023-04-08T00:00:00"/>
    <s v="Saturday"/>
    <x v="3"/>
    <x v="0"/>
    <x v="3"/>
    <n v="19.612449999999999"/>
    <n v="19"/>
    <n v="132.972605133613"/>
    <x v="3"/>
  </r>
  <r>
    <s v="4/8/2023"/>
    <d v="2023-04-08T00:00:00"/>
    <s v="Saturday"/>
    <x v="3"/>
    <x v="0"/>
    <x v="4"/>
    <n v="773.97463889614403"/>
    <n v="1"/>
    <n v="180.32210222558001"/>
    <x v="3"/>
  </r>
  <r>
    <s v="4/9/2023"/>
    <d v="2023-04-09T00:00:00"/>
    <s v="Sunday"/>
    <x v="3"/>
    <x v="0"/>
    <x v="0"/>
    <n v="836.92212288292001"/>
    <n v="3"/>
    <n v="92.274782204987901"/>
    <x v="0"/>
  </r>
  <r>
    <s v="4/9/2023"/>
    <d v="2023-04-09T00:00:00"/>
    <s v="Sunday"/>
    <x v="3"/>
    <x v="0"/>
    <x v="1"/>
    <n v="155.44917594699999"/>
    <n v="8"/>
    <n v="217.38730376180899"/>
    <x v="2"/>
  </r>
  <r>
    <s v="4/9/2023"/>
    <d v="2023-04-09T00:00:00"/>
    <s v="Sunday"/>
    <x v="3"/>
    <x v="0"/>
    <x v="2"/>
    <n v="677.17196427099998"/>
    <n v="5"/>
    <n v="201.80799498103701"/>
    <x v="3"/>
  </r>
  <r>
    <s v="4/9/2023"/>
    <d v="2023-04-09T00:00:00"/>
    <s v="Sunday"/>
    <x v="3"/>
    <x v="0"/>
    <x v="3"/>
    <n v="466.41753757999999"/>
    <n v="8"/>
    <n v="83.727226032618503"/>
    <x v="2"/>
  </r>
  <r>
    <s v="4/9/2023"/>
    <d v="2023-04-09T00:00:00"/>
    <s v="Sunday"/>
    <x v="3"/>
    <x v="0"/>
    <x v="4"/>
    <n v="18.933778973799999"/>
    <n v="17"/>
    <n v="190.318642642246"/>
    <x v="3"/>
  </r>
  <r>
    <s v="4/10/2023"/>
    <d v="2023-04-10T00:00:00"/>
    <s v="Monday"/>
    <x v="3"/>
    <x v="0"/>
    <x v="0"/>
    <n v="745.663673399"/>
    <n v="8"/>
    <n v="214.286482024268"/>
    <x v="2"/>
  </r>
  <r>
    <s v="4/10/2023"/>
    <d v="2023-04-10T00:00:00"/>
    <s v="Monday"/>
    <x v="3"/>
    <x v="0"/>
    <x v="1"/>
    <n v="741.58488929297596"/>
    <n v="9"/>
    <n v="217.41138830257"/>
    <x v="2"/>
  </r>
  <r>
    <s v="4/10/2023"/>
    <d v="2023-04-10T00:00:00"/>
    <s v="Monday"/>
    <x v="3"/>
    <x v="0"/>
    <x v="2"/>
    <n v="735.86141553278003"/>
    <n v="18"/>
    <n v="144.71792751539701"/>
    <x v="3"/>
  </r>
  <r>
    <s v="4/10/2023"/>
    <d v="2023-04-10T00:00:00"/>
    <s v="Monday"/>
    <x v="3"/>
    <x v="0"/>
    <x v="3"/>
    <n v="1436.685672433"/>
    <n v="16"/>
    <n v="493.545951932322"/>
    <x v="3"/>
  </r>
  <r>
    <s v="4/10/2023"/>
    <d v="2023-04-10T00:00:00"/>
    <s v="Monday"/>
    <x v="3"/>
    <x v="0"/>
    <x v="4"/>
    <n v="1539.7814725569001"/>
    <n v="2"/>
    <n v="213.14998433900899"/>
    <x v="1"/>
  </r>
  <r>
    <s v="4/11/2023"/>
    <d v="2023-04-11T00:00:00"/>
    <s v="Tuesday"/>
    <x v="3"/>
    <x v="0"/>
    <x v="0"/>
    <n v="168.98633435266001"/>
    <n v="9"/>
    <n v="226.251072208967"/>
    <x v="1"/>
  </r>
  <r>
    <s v="4/11/2023"/>
    <d v="2023-04-11T00:00:00"/>
    <s v="Tuesday"/>
    <x v="3"/>
    <x v="0"/>
    <x v="1"/>
    <n v="727.59367125799997"/>
    <n v="14"/>
    <n v="168.652309014678"/>
    <x v="0"/>
  </r>
  <r>
    <s v="4/11/2023"/>
    <d v="2023-04-11T00:00:00"/>
    <s v="Tuesday"/>
    <x v="3"/>
    <x v="0"/>
    <x v="2"/>
    <n v="846.56483333492997"/>
    <n v="12"/>
    <n v="134.80795503454601"/>
    <x v="2"/>
  </r>
  <r>
    <s v="4/11/2023"/>
    <d v="2023-04-11T00:00:00"/>
    <s v="Tuesday"/>
    <x v="3"/>
    <x v="0"/>
    <x v="3"/>
    <n v="771.87997777999999"/>
    <n v="17"/>
    <n v="226.734528471218"/>
    <x v="1"/>
  </r>
  <r>
    <s v="4/11/2023"/>
    <d v="2023-04-11T00:00:00"/>
    <s v="Tuesday"/>
    <x v="3"/>
    <x v="0"/>
    <x v="4"/>
    <n v="636.26281634523104"/>
    <n v="7"/>
    <n v="225.20796079803199"/>
    <x v="0"/>
  </r>
  <r>
    <s v="4/12/2023"/>
    <d v="2023-04-12T00:00:00"/>
    <s v="Wednesday"/>
    <x v="3"/>
    <x v="0"/>
    <x v="0"/>
    <n v="134.645549883"/>
    <n v="15"/>
    <n v="235.514287445593"/>
    <x v="0"/>
  </r>
  <r>
    <s v="4/12/2023"/>
    <d v="2023-04-12T00:00:00"/>
    <s v="Wednesday"/>
    <x v="3"/>
    <x v="0"/>
    <x v="1"/>
    <n v="1111.748713"/>
    <n v="12"/>
    <n v="129.13790898704499"/>
    <x v="3"/>
  </r>
  <r>
    <s v="4/12/2023"/>
    <d v="2023-04-12T00:00:00"/>
    <s v="Wednesday"/>
    <x v="3"/>
    <x v="0"/>
    <x v="2"/>
    <n v="1479.7367544809999"/>
    <n v="11"/>
    <n v="267.53549206534802"/>
    <x v="3"/>
  </r>
  <r>
    <s v="4/12/2023"/>
    <d v="2023-04-12T00:00:00"/>
    <s v="Wednesday"/>
    <x v="3"/>
    <x v="0"/>
    <x v="3"/>
    <n v="1119.9638552578999"/>
    <n v="18"/>
    <n v="183.72446130667601"/>
    <x v="1"/>
  </r>
  <r>
    <s v="4/12/2023"/>
    <d v="2023-04-12T00:00:00"/>
    <s v="Wednesday"/>
    <x v="3"/>
    <x v="0"/>
    <x v="4"/>
    <n v="84.592931862450996"/>
    <n v="12"/>
    <n v="257.34137619928799"/>
    <x v="1"/>
  </r>
  <r>
    <s v="4/13/2023"/>
    <d v="2023-04-13T00:00:00"/>
    <s v="Thursday"/>
    <x v="3"/>
    <x v="0"/>
    <x v="0"/>
    <n v="1241.3374379669999"/>
    <n v="3"/>
    <n v="234.883674913531"/>
    <x v="1"/>
  </r>
  <r>
    <s v="4/13/2023"/>
    <d v="2023-04-13T00:00:00"/>
    <s v="Thursday"/>
    <x v="3"/>
    <x v="0"/>
    <x v="1"/>
    <n v="1255.6536000000001"/>
    <n v="7"/>
    <n v="342.983111563867"/>
    <x v="0"/>
  </r>
  <r>
    <s v="4/13/2023"/>
    <d v="2023-04-13T00:00:00"/>
    <s v="Thursday"/>
    <x v="3"/>
    <x v="0"/>
    <x v="2"/>
    <n v="813.28654152758997"/>
    <n v="10"/>
    <n v="217.48314794004401"/>
    <x v="3"/>
  </r>
  <r>
    <s v="4/13/2023"/>
    <d v="2023-04-13T00:00:00"/>
    <s v="Thursday"/>
    <x v="3"/>
    <x v="0"/>
    <x v="3"/>
    <n v="1143.42699898823"/>
    <n v="1"/>
    <n v="368.770778881556"/>
    <x v="1"/>
  </r>
  <r>
    <s v="4/13/2023"/>
    <d v="2023-04-13T00:00:00"/>
    <s v="Thursday"/>
    <x v="3"/>
    <x v="0"/>
    <x v="4"/>
    <n v="1386.3947421457999"/>
    <n v="11"/>
    <n v="267.96054433661902"/>
    <x v="0"/>
  </r>
  <r>
    <s v="4/14/2023"/>
    <d v="2023-04-14T00:00:00"/>
    <s v="Friday"/>
    <x v="3"/>
    <x v="0"/>
    <x v="0"/>
    <n v="873.15641170000004"/>
    <n v="14"/>
    <n v="248.67113478526699"/>
    <x v="1"/>
  </r>
  <r>
    <s v="4/14/2023"/>
    <d v="2023-04-14T00:00:00"/>
    <s v="Friday"/>
    <x v="3"/>
    <x v="0"/>
    <x v="1"/>
    <n v="73.875468913592997"/>
    <n v="9"/>
    <n v="187.419481147065"/>
    <x v="2"/>
  </r>
  <r>
    <s v="4/14/2023"/>
    <d v="2023-04-14T00:00:00"/>
    <s v="Friday"/>
    <x v="3"/>
    <x v="0"/>
    <x v="2"/>
    <n v="1446.241473993"/>
    <n v="10"/>
    <n v="474.72571699999997"/>
    <x v="2"/>
  </r>
  <r>
    <s v="4/14/2023"/>
    <d v="2023-04-14T00:00:00"/>
    <s v="Friday"/>
    <x v="3"/>
    <x v="0"/>
    <x v="3"/>
    <n v="1248.9831673519"/>
    <n v="11"/>
    <n v="407.97762562971099"/>
    <x v="1"/>
  </r>
  <r>
    <s v="4/14/2023"/>
    <d v="2023-04-14T00:00:00"/>
    <s v="Friday"/>
    <x v="3"/>
    <x v="0"/>
    <x v="4"/>
    <n v="1239.3481914819999"/>
    <n v="6"/>
    <n v="449.874797640503"/>
    <x v="0"/>
  </r>
  <r>
    <s v="4/15/2023"/>
    <d v="2023-04-15T00:00:00"/>
    <s v="Saturday"/>
    <x v="3"/>
    <x v="0"/>
    <x v="0"/>
    <n v="836.92212288292001"/>
    <n v="4"/>
    <n v="289.30405032633797"/>
    <x v="3"/>
  </r>
  <r>
    <s v="4/15/2023"/>
    <d v="2023-04-15T00:00:00"/>
    <s v="Saturday"/>
    <x v="3"/>
    <x v="0"/>
    <x v="1"/>
    <n v="717.52314479485995"/>
    <n v="3"/>
    <n v="101.41965048832201"/>
    <x v="2"/>
  </r>
  <r>
    <s v="4/15/2023"/>
    <d v="2023-04-15T00:00:00"/>
    <s v="Saturday"/>
    <x v="3"/>
    <x v="0"/>
    <x v="2"/>
    <n v="154.32769447914001"/>
    <n v="10"/>
    <n v="430.05238931136103"/>
    <x v="3"/>
  </r>
  <r>
    <s v="4/15/2023"/>
    <d v="2023-04-15T00:00:00"/>
    <s v="Saturday"/>
    <x v="3"/>
    <x v="0"/>
    <x v="3"/>
    <n v="774.72833565965004"/>
    <n v="13"/>
    <n v="99.085578576664801"/>
    <x v="1"/>
  </r>
  <r>
    <s v="4/15/2023"/>
    <d v="2023-04-15T00:00:00"/>
    <s v="Saturday"/>
    <x v="3"/>
    <x v="0"/>
    <x v="4"/>
    <n v="18.714317145199999"/>
    <n v="3"/>
    <n v="120.49702240008"/>
    <x v="3"/>
  </r>
  <r>
    <s v="4/16/2023"/>
    <d v="2023-04-16T00:00:00"/>
    <s v="Sunday"/>
    <x v="3"/>
    <x v="0"/>
    <x v="0"/>
    <n v="836.92212288292001"/>
    <n v="4"/>
    <n v="153.21088839887699"/>
    <x v="3"/>
  </r>
  <r>
    <s v="4/16/2023"/>
    <d v="2023-04-16T00:00:00"/>
    <s v="Sunday"/>
    <x v="3"/>
    <x v="0"/>
    <x v="1"/>
    <n v="137.21875774342999"/>
    <n v="19"/>
    <n v="326.12062797645598"/>
    <x v="2"/>
  </r>
  <r>
    <s v="4/16/2023"/>
    <d v="2023-04-16T00:00:00"/>
    <s v="Sunday"/>
    <x v="3"/>
    <x v="0"/>
    <x v="2"/>
    <n v="1177.7588476349999"/>
    <n v="19"/>
    <n v="138.463457562233"/>
    <x v="0"/>
  </r>
  <r>
    <s v="4/16/2023"/>
    <d v="2023-04-16T00:00:00"/>
    <s v="Sunday"/>
    <x v="3"/>
    <x v="0"/>
    <x v="3"/>
    <n v="746.15692945599994"/>
    <n v="19"/>
    <n v="270.57738754968602"/>
    <x v="3"/>
  </r>
  <r>
    <s v="4/16/2023"/>
    <d v="2023-04-16T00:00:00"/>
    <s v="Sunday"/>
    <x v="3"/>
    <x v="0"/>
    <x v="4"/>
    <n v="851.87217291862999"/>
    <n v="17"/>
    <n v="196.10588763106799"/>
    <x v="2"/>
  </r>
  <r>
    <s v="4/17/2023"/>
    <d v="2023-04-17T00:00:00"/>
    <s v="Monday"/>
    <x v="3"/>
    <x v="0"/>
    <x v="0"/>
    <n v="825.28937711640003"/>
    <n v="15"/>
    <n v="329.67448057366499"/>
    <x v="3"/>
  </r>
  <r>
    <s v="4/17/2023"/>
    <d v="2023-04-17T00:00:00"/>
    <s v="Monday"/>
    <x v="3"/>
    <x v="0"/>
    <x v="1"/>
    <n v="948.62524736887406"/>
    <n v="13"/>
    <n v="144.23279824612101"/>
    <x v="2"/>
  </r>
  <r>
    <s v="4/17/2023"/>
    <d v="2023-04-17T00:00:00"/>
    <s v="Monday"/>
    <x v="3"/>
    <x v="0"/>
    <x v="2"/>
    <n v="1366.31186576"/>
    <n v="15"/>
    <n v="304.64816917982603"/>
    <x v="2"/>
  </r>
  <r>
    <s v="4/17/2023"/>
    <d v="2023-04-17T00:00:00"/>
    <s v="Monday"/>
    <x v="3"/>
    <x v="0"/>
    <x v="3"/>
    <n v="746.15692945599994"/>
    <n v="11"/>
    <n v="378.22584097563799"/>
    <x v="2"/>
  </r>
  <r>
    <s v="4/17/2023"/>
    <d v="2023-04-17T00:00:00"/>
    <s v="Monday"/>
    <x v="3"/>
    <x v="0"/>
    <x v="4"/>
    <n v="623.99554263434004"/>
    <n v="10"/>
    <n v="125.01962008980099"/>
    <x v="0"/>
  </r>
  <r>
    <s v="4/18/2023"/>
    <d v="2023-04-18T00:00:00"/>
    <s v="Tuesday"/>
    <x v="3"/>
    <x v="0"/>
    <x v="0"/>
    <n v="114.59333325999999"/>
    <n v="11"/>
    <n v="118.47594844685"/>
    <x v="2"/>
  </r>
  <r>
    <s v="4/18/2023"/>
    <d v="2023-04-18T00:00:00"/>
    <s v="Tuesday"/>
    <x v="3"/>
    <x v="0"/>
    <x v="1"/>
    <n v="153.93755525180001"/>
    <n v="13"/>
    <n v="503.48004969924301"/>
    <x v="1"/>
  </r>
  <r>
    <s v="4/18/2023"/>
    <d v="2023-04-18T00:00:00"/>
    <s v="Tuesday"/>
    <x v="3"/>
    <x v="0"/>
    <x v="2"/>
    <n v="122.46851423"/>
    <n v="10"/>
    <n v="434.26499645029099"/>
    <x v="2"/>
  </r>
  <r>
    <s v="4/18/2023"/>
    <d v="2023-04-18T00:00:00"/>
    <s v="Tuesday"/>
    <x v="3"/>
    <x v="0"/>
    <x v="3"/>
    <n v="1154.8319790999999"/>
    <n v="10"/>
    <n v="439.94221912409699"/>
    <x v="3"/>
  </r>
  <r>
    <s v="4/18/2023"/>
    <d v="2023-04-18T00:00:00"/>
    <s v="Tuesday"/>
    <x v="3"/>
    <x v="0"/>
    <x v="4"/>
    <n v="84.189748114259999"/>
    <n v="6"/>
    <n v="243.10990662075599"/>
    <x v="2"/>
  </r>
  <r>
    <s v="4/19/2023"/>
    <d v="2023-04-19T00:00:00"/>
    <s v="Wednesday"/>
    <x v="3"/>
    <x v="0"/>
    <x v="0"/>
    <n v="991.74552848488997"/>
    <n v="1"/>
    <n v="331.306397925152"/>
    <x v="3"/>
  </r>
  <r>
    <s v="4/19/2023"/>
    <d v="2023-04-19T00:00:00"/>
    <s v="Wednesday"/>
    <x v="3"/>
    <x v="0"/>
    <x v="1"/>
    <n v="1531.67547992"/>
    <n v="6"/>
    <n v="179.48797470207501"/>
    <x v="2"/>
  </r>
  <r>
    <s v="4/19/2023"/>
    <d v="2023-04-19T00:00:00"/>
    <s v="Wednesday"/>
    <x v="3"/>
    <x v="0"/>
    <x v="2"/>
    <n v="7.4843682435119998"/>
    <n v="4"/>
    <n v="72.864935917093007"/>
    <x v="3"/>
  </r>
  <r>
    <s v="4/19/2023"/>
    <d v="2023-04-19T00:00:00"/>
    <s v="Wednesday"/>
    <x v="3"/>
    <x v="0"/>
    <x v="3"/>
    <n v="19.537569945830001"/>
    <n v="12"/>
    <n v="123.643483897286"/>
    <x v="2"/>
  </r>
  <r>
    <s v="4/19/2023"/>
    <d v="2023-04-19T00:00:00"/>
    <s v="Wednesday"/>
    <x v="3"/>
    <x v="0"/>
    <x v="4"/>
    <n v="736.65223973310003"/>
    <n v="14"/>
    <n v="128.80563272683199"/>
    <x v="3"/>
  </r>
  <r>
    <s v="4/20/2023"/>
    <d v="2023-04-20T00:00:00"/>
    <s v="Thursday"/>
    <x v="3"/>
    <x v="0"/>
    <x v="0"/>
    <n v="751.93589380000003"/>
    <n v="16"/>
    <n v="246.49923273650501"/>
    <x v="2"/>
  </r>
  <r>
    <s v="4/20/2023"/>
    <d v="2023-04-20T00:00:00"/>
    <s v="Thursday"/>
    <x v="3"/>
    <x v="0"/>
    <x v="1"/>
    <n v="855.93928775589404"/>
    <n v="9"/>
    <n v="210.79333084851501"/>
    <x v="3"/>
  </r>
  <r>
    <s v="4/20/2023"/>
    <d v="2023-04-20T00:00:00"/>
    <s v="Thursday"/>
    <x v="3"/>
    <x v="0"/>
    <x v="2"/>
    <n v="781.46151349589695"/>
    <n v="11"/>
    <n v="144.24512485193301"/>
    <x v="2"/>
  </r>
  <r>
    <s v="4/20/2023"/>
    <d v="2023-04-20T00:00:00"/>
    <s v="Thursday"/>
    <x v="3"/>
    <x v="0"/>
    <x v="3"/>
    <n v="415.63488295799999"/>
    <n v="18"/>
    <n v="92.822994877375606"/>
    <x v="1"/>
  </r>
  <r>
    <s v="4/20/2023"/>
    <d v="2023-04-20T00:00:00"/>
    <s v="Thursday"/>
    <x v="3"/>
    <x v="0"/>
    <x v="4"/>
    <n v="1235.1156345443601"/>
    <n v="6"/>
    <n v="456.93103357725198"/>
    <x v="2"/>
  </r>
  <r>
    <s v="4/21/2023"/>
    <d v="2023-04-21T00:00:00"/>
    <s v="Friday"/>
    <x v="3"/>
    <x v="0"/>
    <x v="0"/>
    <n v="836.92212288292001"/>
    <n v="15"/>
    <n v="403.06894183964602"/>
    <x v="0"/>
  </r>
  <r>
    <s v="4/21/2023"/>
    <d v="2023-04-21T00:00:00"/>
    <s v="Friday"/>
    <x v="3"/>
    <x v="0"/>
    <x v="1"/>
    <n v="156.96836987879999"/>
    <n v="10"/>
    <n v="524.96815783187003"/>
    <x v="3"/>
  </r>
  <r>
    <s v="4/21/2023"/>
    <d v="2023-04-21T00:00:00"/>
    <s v="Friday"/>
    <x v="3"/>
    <x v="0"/>
    <x v="2"/>
    <n v="1265.3823695880001"/>
    <n v="18"/>
    <n v="181.56906330000001"/>
    <x v="1"/>
  </r>
  <r>
    <s v="4/21/2023"/>
    <d v="2023-04-21T00:00:00"/>
    <s v="Friday"/>
    <x v="3"/>
    <x v="0"/>
    <x v="3"/>
    <n v="724.245958383784"/>
    <n v="5"/>
    <n v="195.25604144604699"/>
    <x v="1"/>
  </r>
  <r>
    <s v="4/21/2023"/>
    <d v="2023-04-21T00:00:00"/>
    <s v="Friday"/>
    <x v="3"/>
    <x v="0"/>
    <x v="4"/>
    <n v="192.11935497170001"/>
    <n v="12"/>
    <n v="223.722737589628"/>
    <x v="0"/>
  </r>
  <r>
    <s v="4/22/2023"/>
    <d v="2023-04-22T00:00:00"/>
    <s v="Saturday"/>
    <x v="3"/>
    <x v="0"/>
    <x v="0"/>
    <n v="836.92212288292001"/>
    <n v="1"/>
    <n v="139.64327688579499"/>
    <x v="3"/>
  </r>
  <r>
    <s v="4/22/2023"/>
    <d v="2023-04-22T00:00:00"/>
    <s v="Saturday"/>
    <x v="3"/>
    <x v="0"/>
    <x v="1"/>
    <n v="753.64581595575999"/>
    <n v="1"/>
    <n v="193.55060546507599"/>
    <x v="0"/>
  </r>
  <r>
    <s v="4/22/2023"/>
    <d v="2023-04-22T00:00:00"/>
    <s v="Saturday"/>
    <x v="3"/>
    <x v="0"/>
    <x v="2"/>
    <n v="95.746176513847999"/>
    <n v="2"/>
    <n v="210.298744045479"/>
    <x v="1"/>
  </r>
  <r>
    <s v="4/22/2023"/>
    <d v="2023-04-22T00:00:00"/>
    <s v="Saturday"/>
    <x v="3"/>
    <x v="0"/>
    <x v="3"/>
    <n v="152.93246658315999"/>
    <n v="17"/>
    <n v="298.89599010199402"/>
    <x v="2"/>
  </r>
  <r>
    <s v="4/22/2023"/>
    <d v="2023-04-22T00:00:00"/>
    <s v="Saturday"/>
    <x v="3"/>
    <x v="0"/>
    <x v="4"/>
    <n v="849.22161818129996"/>
    <n v="6"/>
    <n v="315.088935695609"/>
    <x v="2"/>
  </r>
  <r>
    <s v="4/23/2023"/>
    <d v="2023-04-23T00:00:00"/>
    <s v="Sunday"/>
    <x v="3"/>
    <x v="0"/>
    <x v="0"/>
    <n v="113.9679412473"/>
    <n v="2"/>
    <n v="405.56066187876098"/>
    <x v="1"/>
  </r>
  <r>
    <s v="4/23/2023"/>
    <d v="2023-04-23T00:00:00"/>
    <s v="Sunday"/>
    <x v="3"/>
    <x v="0"/>
    <x v="1"/>
    <n v="1271.1845232584999"/>
    <n v="7"/>
    <n v="335.12074437226801"/>
    <x v="3"/>
  </r>
  <r>
    <s v="4/23/2023"/>
    <d v="2023-04-23T00:00:00"/>
    <s v="Sunday"/>
    <x v="3"/>
    <x v="0"/>
    <x v="2"/>
    <n v="99.325972235430001"/>
    <n v="10"/>
    <n v="357.74535703817799"/>
    <x v="1"/>
  </r>
  <r>
    <s v="4/23/2023"/>
    <d v="2023-04-23T00:00:00"/>
    <s v="Sunday"/>
    <x v="3"/>
    <x v="0"/>
    <x v="3"/>
    <n v="167.53331898740001"/>
    <n v="17"/>
    <n v="171.16510158545199"/>
    <x v="1"/>
  </r>
  <r>
    <s v="4/23/2023"/>
    <d v="2023-04-23T00:00:00"/>
    <s v="Sunday"/>
    <x v="3"/>
    <x v="0"/>
    <x v="4"/>
    <n v="138.53552127931999"/>
    <n v="4"/>
    <n v="339.62754795971102"/>
    <x v="2"/>
  </r>
  <r>
    <s v="4/24/2023"/>
    <d v="2023-04-24T00:00:00"/>
    <s v="Monday"/>
    <x v="3"/>
    <x v="0"/>
    <x v="0"/>
    <n v="1319.75829962849"/>
    <n v="15"/>
    <n v="213.09395856250799"/>
    <x v="0"/>
  </r>
  <r>
    <s v="4/24/2023"/>
    <d v="2023-04-24T00:00:00"/>
    <s v="Monday"/>
    <x v="3"/>
    <x v="0"/>
    <x v="1"/>
    <n v="77.78913364636"/>
    <n v="14"/>
    <n v="121.48412233632099"/>
    <x v="0"/>
  </r>
  <r>
    <s v="4/24/2023"/>
    <d v="2023-04-24T00:00:00"/>
    <s v="Monday"/>
    <x v="3"/>
    <x v="0"/>
    <x v="2"/>
    <n v="1137.8491918212001"/>
    <n v="8"/>
    <n v="450.01582443976298"/>
    <x v="2"/>
  </r>
  <r>
    <s v="4/24/2023"/>
    <d v="2023-04-24T00:00:00"/>
    <s v="Monday"/>
    <x v="3"/>
    <x v="0"/>
    <x v="3"/>
    <n v="1548.5788391949"/>
    <n v="3"/>
    <n v="577.25735366814604"/>
    <x v="0"/>
  </r>
  <r>
    <s v="4/24/2023"/>
    <d v="2023-04-24T00:00:00"/>
    <s v="Monday"/>
    <x v="3"/>
    <x v="0"/>
    <x v="4"/>
    <n v="165.68983333595"/>
    <n v="10"/>
    <n v="400.36872825103598"/>
    <x v="2"/>
  </r>
  <r>
    <s v="4/25/2023"/>
    <d v="2023-04-25T00:00:00"/>
    <s v="Tuesday"/>
    <x v="3"/>
    <x v="0"/>
    <x v="0"/>
    <n v="758.99861181918004"/>
    <n v="18"/>
    <n v="97.167825245427693"/>
    <x v="0"/>
  </r>
  <r>
    <s v="4/25/2023"/>
    <d v="2023-04-25T00:00:00"/>
    <s v="Tuesday"/>
    <x v="3"/>
    <x v="0"/>
    <x v="1"/>
    <n v="361.6937325115"/>
    <n v="19"/>
    <n v="57.285585104769297"/>
    <x v="3"/>
  </r>
  <r>
    <s v="4/25/2023"/>
    <d v="2023-04-25T00:00:00"/>
    <s v="Tuesday"/>
    <x v="3"/>
    <x v="0"/>
    <x v="2"/>
    <n v="45.769465481540003"/>
    <n v="9"/>
    <n v="123.185382389333"/>
    <x v="0"/>
  </r>
  <r>
    <s v="4/25/2023"/>
    <d v="2023-04-25T00:00:00"/>
    <s v="Tuesday"/>
    <x v="3"/>
    <x v="0"/>
    <x v="3"/>
    <n v="16.195541186700002"/>
    <n v="8"/>
    <n v="359.80306440102299"/>
    <x v="1"/>
  </r>
  <r>
    <s v="4/25/2023"/>
    <d v="2023-04-25T00:00:00"/>
    <s v="Tuesday"/>
    <x v="3"/>
    <x v="0"/>
    <x v="4"/>
    <n v="172.1278218134"/>
    <n v="6"/>
    <n v="58.173106788110502"/>
    <x v="1"/>
  </r>
  <r>
    <s v="4/26/2023"/>
    <d v="2023-04-26T00:00:00"/>
    <s v="Wednesday"/>
    <x v="3"/>
    <x v="0"/>
    <x v="0"/>
    <n v="1319.1245487127001"/>
    <n v="16"/>
    <n v="471.09028029872701"/>
    <x v="1"/>
  </r>
  <r>
    <s v="4/26/2023"/>
    <d v="2023-04-26T00:00:00"/>
    <s v="Wednesday"/>
    <x v="3"/>
    <x v="0"/>
    <x v="1"/>
    <n v="1763.13685945"/>
    <n v="8"/>
    <n v="649.16811302833105"/>
    <x v="3"/>
  </r>
  <r>
    <s v="4/26/2023"/>
    <d v="2023-04-26T00:00:00"/>
    <s v="Wednesday"/>
    <x v="3"/>
    <x v="0"/>
    <x v="2"/>
    <n v="154.84272761599999"/>
    <n v="16"/>
    <n v="153.61800649318999"/>
    <x v="3"/>
  </r>
  <r>
    <s v="4/26/2023"/>
    <d v="2023-04-26T00:00:00"/>
    <s v="Wednesday"/>
    <x v="3"/>
    <x v="0"/>
    <x v="3"/>
    <n v="742.19791489260001"/>
    <n v="1"/>
    <n v="167.23818981116099"/>
    <x v="1"/>
  </r>
  <r>
    <s v="4/26/2023"/>
    <d v="2023-04-26T00:00:00"/>
    <s v="Wednesday"/>
    <x v="3"/>
    <x v="0"/>
    <x v="4"/>
    <n v="1342.7155431922299"/>
    <n v="13"/>
    <n v="264.38520132871997"/>
    <x v="3"/>
  </r>
  <r>
    <s v="4/27/2023"/>
    <d v="2023-04-27T00:00:00"/>
    <s v="Thursday"/>
    <x v="3"/>
    <x v="0"/>
    <x v="0"/>
    <n v="943.85672498634995"/>
    <n v="5"/>
    <n v="252.88442120168199"/>
    <x v="0"/>
  </r>
  <r>
    <s v="4/27/2023"/>
    <d v="2023-04-27T00:00:00"/>
    <s v="Thursday"/>
    <x v="3"/>
    <x v="0"/>
    <x v="1"/>
    <n v="1295.7189987395"/>
    <n v="4"/>
    <n v="409.19594645746503"/>
    <x v="2"/>
  </r>
  <r>
    <s v="4/27/2023"/>
    <d v="2023-04-27T00:00:00"/>
    <s v="Thursday"/>
    <x v="3"/>
    <x v="0"/>
    <x v="2"/>
    <n v="842.81280000000004"/>
    <n v="3"/>
    <n v="131.665396537757"/>
    <x v="0"/>
  </r>
  <r>
    <s v="4/27/2023"/>
    <d v="2023-04-27T00:00:00"/>
    <s v="Thursday"/>
    <x v="3"/>
    <x v="0"/>
    <x v="3"/>
    <n v="622.83661754273805"/>
    <n v="9"/>
    <n v="215.32648631215301"/>
    <x v="2"/>
  </r>
  <r>
    <s v="4/27/2023"/>
    <d v="2023-04-27T00:00:00"/>
    <s v="Thursday"/>
    <x v="3"/>
    <x v="0"/>
    <x v="4"/>
    <n v="185.79548221672999"/>
    <n v="11"/>
    <n v="402.16648921339799"/>
    <x v="3"/>
  </r>
  <r>
    <s v="4/28/2023"/>
    <d v="2023-04-28T00:00:00"/>
    <s v="Friday"/>
    <x v="3"/>
    <x v="0"/>
    <x v="0"/>
    <n v="871.34711931868003"/>
    <n v="12"/>
    <n v="169.231502632706"/>
    <x v="3"/>
  </r>
  <r>
    <s v="4/28/2023"/>
    <d v="2023-04-28T00:00:00"/>
    <s v="Friday"/>
    <x v="3"/>
    <x v="0"/>
    <x v="1"/>
    <n v="1389.9836396833"/>
    <n v="16"/>
    <n v="435.62708962603398"/>
    <x v="3"/>
  </r>
  <r>
    <s v="4/28/2023"/>
    <d v="2023-04-28T00:00:00"/>
    <s v="Friday"/>
    <x v="3"/>
    <x v="0"/>
    <x v="2"/>
    <n v="993.13958131335005"/>
    <n v="1"/>
    <n v="170.782500903921"/>
    <x v="3"/>
  </r>
  <r>
    <s v="4/28/2023"/>
    <d v="2023-04-28T00:00:00"/>
    <s v="Friday"/>
    <x v="3"/>
    <x v="0"/>
    <x v="3"/>
    <n v="174.75956282690001"/>
    <n v="18"/>
    <n v="348.918436245061"/>
    <x v="0"/>
  </r>
  <r>
    <s v="4/28/2023"/>
    <d v="2023-04-28T00:00:00"/>
    <s v="Friday"/>
    <x v="3"/>
    <x v="0"/>
    <x v="4"/>
    <n v="1126.4423496277"/>
    <n v="16"/>
    <n v="307.71571191888899"/>
    <x v="0"/>
  </r>
  <r>
    <s v="4/29/2023"/>
    <d v="2023-04-29T00:00:00"/>
    <s v="Saturday"/>
    <x v="3"/>
    <x v="0"/>
    <x v="0"/>
    <n v="969.933958835"/>
    <n v="15"/>
    <n v="170.74688889999999"/>
    <x v="0"/>
  </r>
  <r>
    <s v="4/29/2023"/>
    <d v="2023-04-29T00:00:00"/>
    <s v="Saturday"/>
    <x v="3"/>
    <x v="0"/>
    <x v="1"/>
    <n v="1367.5397445359999"/>
    <n v="16"/>
    <n v="180.38275083722701"/>
    <x v="1"/>
  </r>
  <r>
    <s v="4/29/2023"/>
    <d v="2023-04-29T00:00:00"/>
    <s v="Saturday"/>
    <x v="3"/>
    <x v="0"/>
    <x v="2"/>
    <n v="86.614818148200001"/>
    <n v="7"/>
    <n v="129.21236641085201"/>
    <x v="3"/>
  </r>
  <r>
    <s v="4/29/2023"/>
    <d v="2023-04-29T00:00:00"/>
    <s v="Saturday"/>
    <x v="3"/>
    <x v="0"/>
    <x v="3"/>
    <n v="16.347896761849999"/>
    <n v="1"/>
    <n v="372.30122867254198"/>
    <x v="1"/>
  </r>
  <r>
    <s v="4/29/2023"/>
    <d v="2023-04-29T00:00:00"/>
    <s v="Saturday"/>
    <x v="3"/>
    <x v="0"/>
    <x v="4"/>
    <n v="932.72345237272896"/>
    <n v="15"/>
    <n v="178.703473761721"/>
    <x v="1"/>
  </r>
  <r>
    <s v="4/30/2023"/>
    <d v="2023-04-30T00:00:00"/>
    <s v="Sunday"/>
    <x v="3"/>
    <x v="0"/>
    <x v="0"/>
    <n v="821.74697538112002"/>
    <n v="3"/>
    <n v="270.31086323950302"/>
    <x v="0"/>
  </r>
  <r>
    <s v="4/30/2023"/>
    <d v="2023-04-30T00:00:00"/>
    <s v="Sunday"/>
    <x v="3"/>
    <x v="0"/>
    <x v="1"/>
    <n v="1154.1723548976699"/>
    <n v="12"/>
    <n v="196.01187237675299"/>
    <x v="0"/>
  </r>
  <r>
    <s v="4/30/2023"/>
    <d v="2023-04-30T00:00:00"/>
    <s v="Sunday"/>
    <x v="3"/>
    <x v="0"/>
    <x v="2"/>
    <n v="153.87453458186999"/>
    <n v="3"/>
    <n v="124.070717229043"/>
    <x v="1"/>
  </r>
  <r>
    <s v="4/30/2023"/>
    <d v="2023-04-30T00:00:00"/>
    <s v="Sunday"/>
    <x v="3"/>
    <x v="0"/>
    <x v="3"/>
    <n v="1122.9455977855"/>
    <n v="2"/>
    <n v="262.90027607795002"/>
    <x v="2"/>
  </r>
  <r>
    <s v="4/30/2023"/>
    <d v="2023-04-30T00:00:00"/>
    <s v="Sunday"/>
    <x v="3"/>
    <x v="0"/>
    <x v="4"/>
    <n v="927.62273614437004"/>
    <n v="14"/>
    <n v="333.35892023506602"/>
    <x v="3"/>
  </r>
  <r>
    <s v="5/1/2023"/>
    <d v="2023-05-01T00:00:00"/>
    <s v="Monday"/>
    <x v="4"/>
    <x v="0"/>
    <x v="0"/>
    <n v="928.5164618"/>
    <n v="14"/>
    <n v="226.298978161701"/>
    <x v="0"/>
  </r>
  <r>
    <s v="5/1/2023"/>
    <d v="2023-05-01T00:00:00"/>
    <s v="Monday"/>
    <x v="4"/>
    <x v="0"/>
    <x v="1"/>
    <n v="695.87862575240001"/>
    <n v="8"/>
    <n v="224.05289393721"/>
    <x v="2"/>
  </r>
  <r>
    <s v="5/1/2023"/>
    <d v="2023-05-01T00:00:00"/>
    <s v="Monday"/>
    <x v="4"/>
    <x v="0"/>
    <x v="2"/>
    <n v="781.46151349589695"/>
    <n v="13"/>
    <n v="451.93708782713298"/>
    <x v="1"/>
  </r>
  <r>
    <s v="5/1/2023"/>
    <d v="2023-05-01T00:00:00"/>
    <s v="Monday"/>
    <x v="4"/>
    <x v="0"/>
    <x v="3"/>
    <n v="1265.4253164289901"/>
    <n v="9"/>
    <n v="242.23445703622301"/>
    <x v="1"/>
  </r>
  <r>
    <s v="5/1/2023"/>
    <d v="2023-05-01T00:00:00"/>
    <s v="Monday"/>
    <x v="4"/>
    <x v="0"/>
    <x v="4"/>
    <n v="1659.8579893484"/>
    <n v="14"/>
    <n v="274.76119763310498"/>
    <x v="0"/>
  </r>
  <r>
    <s v="5/2/2023"/>
    <d v="2023-05-02T00:00:00"/>
    <s v="Tuesday"/>
    <x v="4"/>
    <x v="0"/>
    <x v="0"/>
    <n v="836.92212288292001"/>
    <n v="4"/>
    <n v="149.54357961277699"/>
    <x v="2"/>
  </r>
  <r>
    <s v="5/2/2023"/>
    <d v="2023-05-02T00:00:00"/>
    <s v="Tuesday"/>
    <x v="4"/>
    <x v="0"/>
    <x v="1"/>
    <n v="125.7521191795"/>
    <n v="14"/>
    <n v="286.70514913639801"/>
    <x v="1"/>
  </r>
  <r>
    <s v="5/2/2023"/>
    <d v="2023-05-02T00:00:00"/>
    <s v="Tuesday"/>
    <x v="4"/>
    <x v="0"/>
    <x v="2"/>
    <n v="825.99159925346805"/>
    <n v="9"/>
    <n v="156.918359893446"/>
    <x v="2"/>
  </r>
  <r>
    <s v="5/2/2023"/>
    <d v="2023-05-02T00:00:00"/>
    <s v="Tuesday"/>
    <x v="4"/>
    <x v="0"/>
    <x v="3"/>
    <n v="83.398615943999999"/>
    <n v="8"/>
    <n v="291.74461210206999"/>
    <x v="0"/>
  </r>
  <r>
    <s v="5/2/2023"/>
    <d v="2023-05-02T00:00:00"/>
    <s v="Tuesday"/>
    <x v="4"/>
    <x v="0"/>
    <x v="4"/>
    <n v="144.6252688756"/>
    <n v="14"/>
    <n v="211.141490577301"/>
    <x v="3"/>
  </r>
  <r>
    <s v="5/3/2023"/>
    <d v="2023-05-03T00:00:00"/>
    <s v="Wednesday"/>
    <x v="4"/>
    <x v="0"/>
    <x v="0"/>
    <n v="836.92212288292001"/>
    <n v="12"/>
    <n v="335.38739134748198"/>
    <x v="3"/>
  </r>
  <r>
    <s v="5/3/2023"/>
    <d v="2023-05-03T00:00:00"/>
    <s v="Wednesday"/>
    <x v="4"/>
    <x v="0"/>
    <x v="1"/>
    <n v="85.266423880999994"/>
    <n v="14"/>
    <n v="287.22216474414802"/>
    <x v="1"/>
  </r>
  <r>
    <s v="5/3/2023"/>
    <d v="2023-05-03T00:00:00"/>
    <s v="Wednesday"/>
    <x v="4"/>
    <x v="0"/>
    <x v="2"/>
    <n v="632.21999547389998"/>
    <n v="5"/>
    <n v="176.82785507617501"/>
    <x v="0"/>
  </r>
  <r>
    <s v="5/3/2023"/>
    <d v="2023-05-03T00:00:00"/>
    <s v="Wednesday"/>
    <x v="4"/>
    <x v="0"/>
    <x v="3"/>
    <n v="746.15692945599994"/>
    <n v="9"/>
    <n v="460.82518670000002"/>
    <x v="3"/>
  </r>
  <r>
    <s v="5/3/2023"/>
    <d v="2023-05-03T00:00:00"/>
    <s v="Wednesday"/>
    <x v="4"/>
    <x v="0"/>
    <x v="4"/>
    <n v="844.62625000000003"/>
    <n v="12"/>
    <n v="202.14436503285199"/>
    <x v="1"/>
  </r>
  <r>
    <s v="5/4/2023"/>
    <d v="2023-05-04T00:00:00"/>
    <s v="Thursday"/>
    <x v="4"/>
    <x v="0"/>
    <x v="0"/>
    <n v="172.31454313244001"/>
    <n v="9"/>
    <n v="216.86994373699901"/>
    <x v="3"/>
  </r>
  <r>
    <s v="5/4/2023"/>
    <d v="2023-05-04T00:00:00"/>
    <s v="Thursday"/>
    <x v="4"/>
    <x v="0"/>
    <x v="1"/>
    <n v="1631.5672362400001"/>
    <n v="19"/>
    <n v="381.08989234561801"/>
    <x v="0"/>
  </r>
  <r>
    <s v="5/4/2023"/>
    <d v="2023-05-04T00:00:00"/>
    <s v="Thursday"/>
    <x v="4"/>
    <x v="0"/>
    <x v="2"/>
    <n v="666.83671888859999"/>
    <n v="19"/>
    <n v="114.05353412084"/>
    <x v="1"/>
  </r>
  <r>
    <s v="5/4/2023"/>
    <d v="2023-05-04T00:00:00"/>
    <s v="Thursday"/>
    <x v="4"/>
    <x v="0"/>
    <x v="3"/>
    <n v="891.17862595466499"/>
    <n v="12"/>
    <n v="219.49740299999999"/>
    <x v="2"/>
  </r>
  <r>
    <s v="5/4/2023"/>
    <d v="2023-05-04T00:00:00"/>
    <s v="Thursday"/>
    <x v="4"/>
    <x v="0"/>
    <x v="4"/>
    <n v="849.22161818129996"/>
    <n v="12"/>
    <n v="327.08505646893701"/>
    <x v="2"/>
  </r>
  <r>
    <s v="5/5/2023"/>
    <d v="2023-05-05T00:00:00"/>
    <s v="Friday"/>
    <x v="4"/>
    <x v="0"/>
    <x v="0"/>
    <n v="115.96221835235001"/>
    <n v="8"/>
    <n v="320.984752197376"/>
    <x v="2"/>
  </r>
  <r>
    <s v="5/5/2023"/>
    <d v="2023-05-05T00:00:00"/>
    <s v="Friday"/>
    <x v="4"/>
    <x v="0"/>
    <x v="1"/>
    <n v="994.64454355099997"/>
    <n v="18"/>
    <n v="207.31802450000001"/>
    <x v="3"/>
  </r>
  <r>
    <s v="5/5/2023"/>
    <d v="2023-05-05T00:00:00"/>
    <s v="Friday"/>
    <x v="4"/>
    <x v="0"/>
    <x v="2"/>
    <n v="1241.969253429"/>
    <n v="19"/>
    <n v="227.33538302097099"/>
    <x v="0"/>
  </r>
  <r>
    <s v="5/5/2023"/>
    <d v="2023-05-05T00:00:00"/>
    <s v="Friday"/>
    <x v="4"/>
    <x v="0"/>
    <x v="3"/>
    <n v="161.81485536385"/>
    <n v="13"/>
    <n v="259.732992456001"/>
    <x v="3"/>
  </r>
  <r>
    <s v="5/5/2023"/>
    <d v="2023-05-05T00:00:00"/>
    <s v="Friday"/>
    <x v="4"/>
    <x v="0"/>
    <x v="4"/>
    <n v="244.77692874100001"/>
    <n v="17"/>
    <n v="62.4094623440512"/>
    <x v="2"/>
  </r>
  <r>
    <s v="5/6/2023"/>
    <d v="2023-05-06T00:00:00"/>
    <s v="Saturday"/>
    <x v="4"/>
    <x v="0"/>
    <x v="0"/>
    <n v="565.17946145123994"/>
    <n v="17"/>
    <n v="57.800889410508702"/>
    <x v="2"/>
  </r>
  <r>
    <s v="5/6/2023"/>
    <d v="2023-05-06T00:00:00"/>
    <s v="Saturday"/>
    <x v="4"/>
    <x v="0"/>
    <x v="1"/>
    <n v="189.37631957794"/>
    <n v="1"/>
    <n v="219.68166206572599"/>
    <x v="0"/>
  </r>
  <r>
    <s v="5/6/2023"/>
    <d v="2023-05-06T00:00:00"/>
    <s v="Saturday"/>
    <x v="4"/>
    <x v="0"/>
    <x v="2"/>
    <n v="186.61971841598"/>
    <n v="17"/>
    <n v="179.893100244701"/>
    <x v="2"/>
  </r>
  <r>
    <s v="5/6/2023"/>
    <d v="2023-05-06T00:00:00"/>
    <s v="Saturday"/>
    <x v="4"/>
    <x v="0"/>
    <x v="3"/>
    <n v="1113.252182896"/>
    <n v="9"/>
    <n v="384.06097707376"/>
    <x v="0"/>
  </r>
  <r>
    <s v="5/6/2023"/>
    <d v="2023-05-06T00:00:00"/>
    <s v="Saturday"/>
    <x v="4"/>
    <x v="0"/>
    <x v="4"/>
    <n v="945.85363325900005"/>
    <n v="9"/>
    <n v="326.75629155148999"/>
    <x v="0"/>
  </r>
  <r>
    <s v="5/7/2023"/>
    <d v="2023-05-07T00:00:00"/>
    <s v="Sunday"/>
    <x v="4"/>
    <x v="0"/>
    <x v="0"/>
    <n v="131.63241591810001"/>
    <n v="9"/>
    <n v="112.28326843280099"/>
    <x v="3"/>
  </r>
  <r>
    <s v="5/7/2023"/>
    <d v="2023-05-07T00:00:00"/>
    <s v="Sunday"/>
    <x v="4"/>
    <x v="0"/>
    <x v="1"/>
    <n v="351.33423370000003"/>
    <n v="11"/>
    <n v="39.861001557879398"/>
    <x v="1"/>
  </r>
  <r>
    <s v="5/7/2023"/>
    <d v="2023-05-07T00:00:00"/>
    <s v="Sunday"/>
    <x v="4"/>
    <x v="0"/>
    <x v="2"/>
    <n v="88.266444300000003"/>
    <n v="1"/>
    <n v="190.984109394917"/>
    <x v="1"/>
  </r>
  <r>
    <s v="5/7/2023"/>
    <d v="2023-05-07T00:00:00"/>
    <s v="Sunday"/>
    <x v="4"/>
    <x v="0"/>
    <x v="3"/>
    <n v="84.139682765309999"/>
    <n v="12"/>
    <n v="293.24852492249403"/>
    <x v="0"/>
  </r>
  <r>
    <s v="5/7/2023"/>
    <d v="2023-05-07T00:00:00"/>
    <s v="Sunday"/>
    <x v="4"/>
    <x v="0"/>
    <x v="4"/>
    <n v="1231.6646861199999"/>
    <n v="16"/>
    <n v="232.79615151905901"/>
    <x v="2"/>
  </r>
  <r>
    <s v="5/8/2023"/>
    <d v="2023-05-08T00:00:00"/>
    <s v="Monday"/>
    <x v="4"/>
    <x v="0"/>
    <x v="0"/>
    <n v="1459.39712337384"/>
    <n v="7"/>
    <n v="563.63367293767101"/>
    <x v="0"/>
  </r>
  <r>
    <s v="5/8/2023"/>
    <d v="2023-05-08T00:00:00"/>
    <s v="Monday"/>
    <x v="4"/>
    <x v="0"/>
    <x v="1"/>
    <n v="143.4629939726"/>
    <n v="18"/>
    <n v="184.70110083751101"/>
    <x v="3"/>
  </r>
  <r>
    <s v="5/8/2023"/>
    <d v="2023-05-08T00:00:00"/>
    <s v="Monday"/>
    <x v="4"/>
    <x v="0"/>
    <x v="2"/>
    <n v="815.56814452924004"/>
    <n v="1"/>
    <n v="193.18440240997401"/>
    <x v="2"/>
  </r>
  <r>
    <s v="5/8/2023"/>
    <d v="2023-05-08T00:00:00"/>
    <s v="Monday"/>
    <x v="4"/>
    <x v="0"/>
    <x v="3"/>
    <n v="158.1873494852"/>
    <n v="8"/>
    <n v="344.23000785386103"/>
    <x v="0"/>
  </r>
  <r>
    <s v="5/8/2023"/>
    <d v="2023-05-08T00:00:00"/>
    <s v="Monday"/>
    <x v="4"/>
    <x v="0"/>
    <x v="4"/>
    <n v="754.41499610000005"/>
    <n v="12"/>
    <n v="93.588201119999994"/>
    <x v="1"/>
  </r>
  <r>
    <s v="5/9/2023"/>
    <d v="2023-05-09T00:00:00"/>
    <s v="Tuesday"/>
    <x v="4"/>
    <x v="0"/>
    <x v="0"/>
    <n v="842.11164631969996"/>
    <n v="9"/>
    <n v="247.526107857634"/>
    <x v="1"/>
  </r>
  <r>
    <s v="5/9/2023"/>
    <d v="2023-05-09T00:00:00"/>
    <s v="Tuesday"/>
    <x v="4"/>
    <x v="0"/>
    <x v="1"/>
    <n v="1451.7454862918901"/>
    <n v="11"/>
    <n v="405.91924645238998"/>
    <x v="2"/>
  </r>
  <r>
    <s v="5/9/2023"/>
    <d v="2023-05-09T00:00:00"/>
    <s v="Tuesday"/>
    <x v="4"/>
    <x v="0"/>
    <x v="2"/>
    <n v="1212.4643269769599"/>
    <n v="7"/>
    <n v="439.04494583006499"/>
    <x v="3"/>
  </r>
  <r>
    <s v="5/9/2023"/>
    <d v="2023-05-09T00:00:00"/>
    <s v="Tuesday"/>
    <x v="4"/>
    <x v="0"/>
    <x v="3"/>
    <n v="169.96483937950001"/>
    <n v="6"/>
    <n v="145.69446393085499"/>
    <x v="2"/>
  </r>
  <r>
    <s v="5/9/2023"/>
    <d v="2023-05-09T00:00:00"/>
    <s v="Tuesday"/>
    <x v="4"/>
    <x v="0"/>
    <x v="4"/>
    <n v="1384.62967628756"/>
    <n v="8"/>
    <n v="479.087113991531"/>
    <x v="0"/>
  </r>
  <r>
    <s v="5/10/2023"/>
    <d v="2023-05-10T00:00:00"/>
    <s v="Wednesday"/>
    <x v="4"/>
    <x v="0"/>
    <x v="0"/>
    <n v="135.68147232999999"/>
    <n v="12"/>
    <n v="195.12160404069201"/>
    <x v="0"/>
  </r>
  <r>
    <s v="5/10/2023"/>
    <d v="2023-05-10T00:00:00"/>
    <s v="Wednesday"/>
    <x v="4"/>
    <x v="0"/>
    <x v="1"/>
    <n v="944.163295674349"/>
    <n v="5"/>
    <n v="129.2568885"/>
    <x v="0"/>
  </r>
  <r>
    <s v="5/10/2023"/>
    <d v="2023-05-10T00:00:00"/>
    <s v="Wednesday"/>
    <x v="4"/>
    <x v="0"/>
    <x v="2"/>
    <n v="769.39415778986995"/>
    <n v="6"/>
    <n v="272.12031438952698"/>
    <x v="2"/>
  </r>
  <r>
    <s v="5/10/2023"/>
    <d v="2023-05-10T00:00:00"/>
    <s v="Wednesday"/>
    <x v="4"/>
    <x v="0"/>
    <x v="3"/>
    <n v="911.26946978279"/>
    <n v="13"/>
    <n v="166.39946641239999"/>
    <x v="0"/>
  </r>
  <r>
    <s v="5/10/2023"/>
    <d v="2023-05-10T00:00:00"/>
    <s v="Wednesday"/>
    <x v="4"/>
    <x v="0"/>
    <x v="4"/>
    <n v="1325.8182394949999"/>
    <n v="6"/>
    <n v="446.14915082788002"/>
    <x v="3"/>
  </r>
  <r>
    <s v="5/11/2023"/>
    <d v="2023-05-11T00:00:00"/>
    <s v="Thursday"/>
    <x v="4"/>
    <x v="0"/>
    <x v="0"/>
    <n v="831.43439357709997"/>
    <n v="3"/>
    <n v="297.045452910253"/>
    <x v="1"/>
  </r>
  <r>
    <s v="5/11/2023"/>
    <d v="2023-05-11T00:00:00"/>
    <s v="Thursday"/>
    <x v="4"/>
    <x v="0"/>
    <x v="1"/>
    <n v="61.418434121331003"/>
    <n v="9"/>
    <n v="137.90258034729601"/>
    <x v="3"/>
  </r>
  <r>
    <s v="5/11/2023"/>
    <d v="2023-05-11T00:00:00"/>
    <s v="Thursday"/>
    <x v="4"/>
    <x v="0"/>
    <x v="2"/>
    <n v="918.27168962671203"/>
    <n v="1"/>
    <n v="236.67881604099699"/>
    <x v="2"/>
  </r>
  <r>
    <s v="5/11/2023"/>
    <d v="2023-05-11T00:00:00"/>
    <s v="Thursday"/>
    <x v="4"/>
    <x v="0"/>
    <x v="3"/>
    <n v="977.52674663493997"/>
    <n v="5"/>
    <n v="287.121260655502"/>
    <x v="0"/>
  </r>
  <r>
    <s v="5/11/2023"/>
    <d v="2023-05-11T00:00:00"/>
    <s v="Thursday"/>
    <x v="4"/>
    <x v="0"/>
    <x v="4"/>
    <n v="97.589714744277003"/>
    <n v="19"/>
    <n v="97.687809020550105"/>
    <x v="3"/>
  </r>
  <r>
    <s v="5/12/2023"/>
    <d v="2023-05-12T00:00:00"/>
    <s v="Friday"/>
    <x v="4"/>
    <x v="0"/>
    <x v="0"/>
    <n v="1233.8981596880001"/>
    <n v="18"/>
    <n v="359.15159518923298"/>
    <x v="1"/>
  </r>
  <r>
    <s v="5/12/2023"/>
    <d v="2023-05-12T00:00:00"/>
    <s v="Friday"/>
    <x v="4"/>
    <x v="0"/>
    <x v="1"/>
    <n v="1382.929964549"/>
    <n v="11"/>
    <n v="267.24858232412203"/>
    <x v="2"/>
  </r>
  <r>
    <s v="5/12/2023"/>
    <d v="2023-05-12T00:00:00"/>
    <s v="Friday"/>
    <x v="4"/>
    <x v="0"/>
    <x v="2"/>
    <n v="85.519635698949998"/>
    <n v="5"/>
    <n v="220.56151762381899"/>
    <x v="3"/>
  </r>
  <r>
    <s v="5/12/2023"/>
    <d v="2023-05-12T00:00:00"/>
    <s v="Friday"/>
    <x v="4"/>
    <x v="0"/>
    <x v="3"/>
    <n v="1567.4163548650999"/>
    <n v="13"/>
    <n v="613.8121208"/>
    <x v="2"/>
  </r>
  <r>
    <s v="5/12/2023"/>
    <d v="2023-05-12T00:00:00"/>
    <s v="Friday"/>
    <x v="4"/>
    <x v="0"/>
    <x v="4"/>
    <n v="861.37119444580003"/>
    <n v="3"/>
    <n v="335.25016705919199"/>
    <x v="3"/>
  </r>
  <r>
    <s v="5/13/2023"/>
    <d v="2023-05-13T00:00:00"/>
    <s v="Saturday"/>
    <x v="4"/>
    <x v="0"/>
    <x v="0"/>
    <n v="965.71361331943399"/>
    <n v="11"/>
    <n v="208.97659009245999"/>
    <x v="2"/>
  </r>
  <r>
    <s v="5/13/2023"/>
    <d v="2023-05-13T00:00:00"/>
    <s v="Saturday"/>
    <x v="4"/>
    <x v="0"/>
    <x v="1"/>
    <n v="952.81772439729002"/>
    <n v="19"/>
    <n v="101.95611592613599"/>
    <x v="1"/>
  </r>
  <r>
    <s v="5/13/2023"/>
    <d v="2023-05-13T00:00:00"/>
    <s v="Saturday"/>
    <x v="4"/>
    <x v="0"/>
    <x v="2"/>
    <n v="987.82845197644701"/>
    <n v="10"/>
    <n v="365.52117839640499"/>
    <x v="0"/>
  </r>
  <r>
    <s v="5/13/2023"/>
    <d v="2023-05-13T00:00:00"/>
    <s v="Saturday"/>
    <x v="4"/>
    <x v="0"/>
    <x v="3"/>
    <n v="646.4173158625"/>
    <n v="5"/>
    <n v="250.012194382638"/>
    <x v="0"/>
  </r>
  <r>
    <s v="5/13/2023"/>
    <d v="2023-05-13T00:00:00"/>
    <s v="Saturday"/>
    <x v="4"/>
    <x v="0"/>
    <x v="4"/>
    <n v="212.86352933521999"/>
    <n v="18"/>
    <n v="74.079106830114398"/>
    <x v="0"/>
  </r>
  <r>
    <s v="5/14/2023"/>
    <d v="2023-05-14T00:00:00"/>
    <s v="Sunday"/>
    <x v="4"/>
    <x v="0"/>
    <x v="0"/>
    <n v="633.79898595426005"/>
    <n v="13"/>
    <n v="178.771371460203"/>
    <x v="2"/>
  </r>
  <r>
    <s v="5/14/2023"/>
    <d v="2023-05-14T00:00:00"/>
    <s v="Sunday"/>
    <x v="4"/>
    <x v="0"/>
    <x v="1"/>
    <n v="538.1442184"/>
    <n v="16"/>
    <n v="178.682397943528"/>
    <x v="0"/>
  </r>
  <r>
    <s v="5/14/2023"/>
    <d v="2023-05-14T00:00:00"/>
    <s v="Sunday"/>
    <x v="4"/>
    <x v="0"/>
    <x v="2"/>
    <n v="554.11689114910996"/>
    <n v="5"/>
    <n v="134.85184507182601"/>
    <x v="0"/>
  </r>
  <r>
    <s v="5/14/2023"/>
    <d v="2023-05-14T00:00:00"/>
    <s v="Sunday"/>
    <x v="4"/>
    <x v="0"/>
    <x v="3"/>
    <n v="1471.8443922751501"/>
    <n v="19"/>
    <n v="304.45939342319298"/>
    <x v="2"/>
  </r>
  <r>
    <s v="5/14/2023"/>
    <d v="2023-05-14T00:00:00"/>
    <s v="Sunday"/>
    <x v="4"/>
    <x v="0"/>
    <x v="4"/>
    <n v="175.13572231833001"/>
    <n v="13"/>
    <n v="170.28768400864999"/>
    <x v="0"/>
  </r>
  <r>
    <s v="5/15/2023"/>
    <d v="2023-05-15T00:00:00"/>
    <s v="Monday"/>
    <x v="4"/>
    <x v="0"/>
    <x v="0"/>
    <n v="169.9881383993"/>
    <n v="12"/>
    <n v="562.21840579272202"/>
    <x v="3"/>
  </r>
  <r>
    <s v="5/15/2023"/>
    <d v="2023-05-15T00:00:00"/>
    <s v="Monday"/>
    <x v="4"/>
    <x v="0"/>
    <x v="1"/>
    <n v="125.668566634"/>
    <n v="19"/>
    <n v="153.40258432920899"/>
    <x v="1"/>
  </r>
  <r>
    <s v="5/15/2023"/>
    <d v="2023-05-15T00:00:00"/>
    <s v="Monday"/>
    <x v="4"/>
    <x v="0"/>
    <x v="2"/>
    <n v="948.44114611199996"/>
    <n v="15"/>
    <n v="327.23786377171501"/>
    <x v="3"/>
  </r>
  <r>
    <s v="5/15/2023"/>
    <d v="2023-05-15T00:00:00"/>
    <s v="Monday"/>
    <x v="4"/>
    <x v="0"/>
    <x v="3"/>
    <n v="667.5564642759"/>
    <n v="19"/>
    <n v="223.44021323302499"/>
    <x v="1"/>
  </r>
  <r>
    <s v="5/15/2023"/>
    <d v="2023-05-15T00:00:00"/>
    <s v="Monday"/>
    <x v="4"/>
    <x v="0"/>
    <x v="4"/>
    <n v="187.55852859999999"/>
    <n v="19"/>
    <n v="174.437462791819"/>
    <x v="0"/>
  </r>
  <r>
    <s v="5/16/2023"/>
    <d v="2023-05-16T00:00:00"/>
    <s v="Tuesday"/>
    <x v="4"/>
    <x v="0"/>
    <x v="0"/>
    <n v="1269.8394913444699"/>
    <n v="8"/>
    <n v="142.01613108690799"/>
    <x v="0"/>
  </r>
  <r>
    <s v="5/16/2023"/>
    <d v="2023-05-16T00:00:00"/>
    <s v="Tuesday"/>
    <x v="4"/>
    <x v="0"/>
    <x v="1"/>
    <n v="1157.1286523369999"/>
    <n v="2"/>
    <n v="366.39646798278"/>
    <x v="0"/>
  </r>
  <r>
    <s v="5/16/2023"/>
    <d v="2023-05-16T00:00:00"/>
    <s v="Tuesday"/>
    <x v="4"/>
    <x v="0"/>
    <x v="2"/>
    <n v="181.42644814280001"/>
    <n v="15"/>
    <n v="390.38494230684302"/>
    <x v="0"/>
  </r>
  <r>
    <s v="5/16/2023"/>
    <d v="2023-05-16T00:00:00"/>
    <s v="Tuesday"/>
    <x v="4"/>
    <x v="0"/>
    <x v="3"/>
    <n v="198.39672966929999"/>
    <n v="5"/>
    <n v="371.42641214847299"/>
    <x v="3"/>
  </r>
  <r>
    <s v="5/16/2023"/>
    <d v="2023-05-16T00:00:00"/>
    <s v="Tuesday"/>
    <x v="4"/>
    <x v="0"/>
    <x v="4"/>
    <n v="1488.72881478"/>
    <n v="9"/>
    <n v="540.58847055965805"/>
    <x v="3"/>
  </r>
  <r>
    <s v="5/17/2023"/>
    <d v="2023-05-17T00:00:00"/>
    <s v="Wednesday"/>
    <x v="4"/>
    <x v="0"/>
    <x v="0"/>
    <n v="727.19569178159998"/>
    <n v="6"/>
    <n v="201.15506009989701"/>
    <x v="2"/>
  </r>
  <r>
    <s v="5/17/2023"/>
    <d v="2023-05-17T00:00:00"/>
    <s v="Wednesday"/>
    <x v="4"/>
    <x v="0"/>
    <x v="1"/>
    <n v="18.662716944700001"/>
    <n v="4"/>
    <n v="187.344036966922"/>
    <x v="0"/>
  </r>
  <r>
    <s v="5/17/2023"/>
    <d v="2023-05-17T00:00:00"/>
    <s v="Wednesday"/>
    <x v="4"/>
    <x v="0"/>
    <x v="2"/>
    <n v="455.53886687732"/>
    <n v="11"/>
    <n v="171.10940434174401"/>
    <x v="1"/>
  </r>
  <r>
    <s v="5/17/2023"/>
    <d v="2023-05-17T00:00:00"/>
    <s v="Wednesday"/>
    <x v="4"/>
    <x v="0"/>
    <x v="3"/>
    <n v="158.91679776699999"/>
    <n v="18"/>
    <n v="502.28088169000398"/>
    <x v="0"/>
  </r>
  <r>
    <s v="5/17/2023"/>
    <d v="2023-05-17T00:00:00"/>
    <s v="Wednesday"/>
    <x v="4"/>
    <x v="0"/>
    <x v="4"/>
    <n v="983.53179980000004"/>
    <n v="19"/>
    <n v="276.01354067308199"/>
    <x v="1"/>
  </r>
  <r>
    <s v="5/18/2023"/>
    <d v="2023-05-18T00:00:00"/>
    <s v="Thursday"/>
    <x v="4"/>
    <x v="0"/>
    <x v="0"/>
    <n v="185.66622245728999"/>
    <n v="4"/>
    <n v="371.27266355303499"/>
    <x v="1"/>
  </r>
  <r>
    <s v="5/18/2023"/>
    <d v="2023-05-18T00:00:00"/>
    <s v="Thursday"/>
    <x v="4"/>
    <x v="0"/>
    <x v="1"/>
    <n v="94.798473978199993"/>
    <n v="13"/>
    <n v="218.02529058255601"/>
    <x v="0"/>
  </r>
  <r>
    <s v="5/18/2023"/>
    <d v="2023-05-18T00:00:00"/>
    <s v="Thursday"/>
    <x v="4"/>
    <x v="0"/>
    <x v="2"/>
    <n v="954.61814939459998"/>
    <n v="1"/>
    <n v="351.22980113453599"/>
    <x v="1"/>
  </r>
  <r>
    <s v="5/18/2023"/>
    <d v="2023-05-18T00:00:00"/>
    <s v="Thursday"/>
    <x v="4"/>
    <x v="0"/>
    <x v="3"/>
    <n v="669.31593441550001"/>
    <n v="5"/>
    <n v="169.423765101165"/>
    <x v="2"/>
  </r>
  <r>
    <s v="5/18/2023"/>
    <d v="2023-05-18T00:00:00"/>
    <s v="Thursday"/>
    <x v="4"/>
    <x v="0"/>
    <x v="4"/>
    <n v="745.24136293460003"/>
    <n v="16"/>
    <n v="244.94822971858801"/>
    <x v="2"/>
  </r>
  <r>
    <s v="5/19/2023"/>
    <d v="2023-05-19T00:00:00"/>
    <s v="Friday"/>
    <x v="4"/>
    <x v="0"/>
    <x v="0"/>
    <n v="1337.2338159957999"/>
    <n v="10"/>
    <n v="187.65474193027401"/>
    <x v="2"/>
  </r>
  <r>
    <s v="5/19/2023"/>
    <d v="2023-05-19T00:00:00"/>
    <s v="Friday"/>
    <x v="4"/>
    <x v="0"/>
    <x v="1"/>
    <n v="1284.25793863685"/>
    <n v="16"/>
    <n v="444.27534560229702"/>
    <x v="0"/>
  </r>
  <r>
    <s v="5/19/2023"/>
    <d v="2023-05-19T00:00:00"/>
    <s v="Friday"/>
    <x v="4"/>
    <x v="0"/>
    <x v="2"/>
    <n v="731.69526197379002"/>
    <n v="15"/>
    <n v="290.60278423897302"/>
    <x v="2"/>
  </r>
  <r>
    <s v="5/19/2023"/>
    <d v="2023-05-19T00:00:00"/>
    <s v="Friday"/>
    <x v="4"/>
    <x v="0"/>
    <x v="3"/>
    <n v="794.81214946269995"/>
    <n v="8"/>
    <n v="316.64886237283901"/>
    <x v="3"/>
  </r>
  <r>
    <s v="5/19/2023"/>
    <d v="2023-05-19T00:00:00"/>
    <s v="Friday"/>
    <x v="4"/>
    <x v="0"/>
    <x v="4"/>
    <n v="1217.5287365439001"/>
    <n v="1"/>
    <n v="146.96650850571899"/>
    <x v="0"/>
  </r>
  <r>
    <s v="5/20/2023"/>
    <d v="2023-05-20T00:00:00"/>
    <s v="Saturday"/>
    <x v="4"/>
    <x v="0"/>
    <x v="0"/>
    <n v="1154.8534861344799"/>
    <n v="8"/>
    <n v="440.14620092574597"/>
    <x v="3"/>
  </r>
  <r>
    <s v="5/20/2023"/>
    <d v="2023-05-20T00:00:00"/>
    <s v="Saturday"/>
    <x v="4"/>
    <x v="0"/>
    <x v="1"/>
    <n v="1356.6741144238999"/>
    <n v="4"/>
    <n v="420.58289264090598"/>
    <x v="1"/>
  </r>
  <r>
    <s v="5/20/2023"/>
    <d v="2023-05-20T00:00:00"/>
    <s v="Saturday"/>
    <x v="4"/>
    <x v="0"/>
    <x v="2"/>
    <n v="1212.4911541631"/>
    <n v="8"/>
    <n v="266.42074971496402"/>
    <x v="2"/>
  </r>
  <r>
    <s v="5/20/2023"/>
    <d v="2023-05-20T00:00:00"/>
    <s v="Saturday"/>
    <x v="4"/>
    <x v="0"/>
    <x v="3"/>
    <n v="951.79918168699999"/>
    <n v="6"/>
    <n v="182.45631354013"/>
    <x v="3"/>
  </r>
  <r>
    <s v="5/20/2023"/>
    <d v="2023-05-20T00:00:00"/>
    <s v="Saturday"/>
    <x v="4"/>
    <x v="0"/>
    <x v="4"/>
    <n v="776.52926558649995"/>
    <n v="3"/>
    <n v="224.903784789778"/>
    <x v="0"/>
  </r>
  <r>
    <s v="5/21/2023"/>
    <d v="2023-05-21T00:00:00"/>
    <s v="Sunday"/>
    <x v="4"/>
    <x v="0"/>
    <x v="0"/>
    <n v="19.572361634"/>
    <n v="16"/>
    <n v="307.28274438536101"/>
    <x v="0"/>
  </r>
  <r>
    <s v="5/21/2023"/>
    <d v="2023-05-21T00:00:00"/>
    <s v="Sunday"/>
    <x v="4"/>
    <x v="0"/>
    <x v="1"/>
    <n v="1182.582232772"/>
    <n v="2"/>
    <n v="400.13221322799302"/>
    <x v="3"/>
  </r>
  <r>
    <s v="5/21/2023"/>
    <d v="2023-05-21T00:00:00"/>
    <s v="Sunday"/>
    <x v="4"/>
    <x v="0"/>
    <x v="2"/>
    <n v="65.197333277431994"/>
    <n v="13"/>
    <n v="195.09582319606599"/>
    <x v="1"/>
  </r>
  <r>
    <s v="5/21/2023"/>
    <d v="2023-05-21T00:00:00"/>
    <s v="Sunday"/>
    <x v="4"/>
    <x v="0"/>
    <x v="3"/>
    <n v="978.56632873650005"/>
    <n v="2"/>
    <n v="180.35109036314799"/>
    <x v="3"/>
  </r>
  <r>
    <s v="5/21/2023"/>
    <d v="2023-05-21T00:00:00"/>
    <s v="Sunday"/>
    <x v="4"/>
    <x v="0"/>
    <x v="4"/>
    <n v="763.31776937227801"/>
    <n v="7"/>
    <n v="185.43362223594599"/>
    <x v="0"/>
  </r>
  <r>
    <s v="5/22/2023"/>
    <d v="2023-05-22T00:00:00"/>
    <s v="Monday"/>
    <x v="4"/>
    <x v="0"/>
    <x v="0"/>
    <n v="858.75137458519998"/>
    <n v="17"/>
    <n v="250.87802220960299"/>
    <x v="0"/>
  </r>
  <r>
    <s v="5/22/2023"/>
    <d v="2023-05-22T00:00:00"/>
    <s v="Monday"/>
    <x v="4"/>
    <x v="0"/>
    <x v="1"/>
    <n v="1444.3715645766399"/>
    <n v="17"/>
    <n v="456.331048752904"/>
    <x v="3"/>
  </r>
  <r>
    <s v="5/22/2023"/>
    <d v="2023-05-22T00:00:00"/>
    <s v="Monday"/>
    <x v="4"/>
    <x v="0"/>
    <x v="2"/>
    <n v="856.42676659999995"/>
    <n v="10"/>
    <n v="236.16776259575099"/>
    <x v="3"/>
  </r>
  <r>
    <s v="5/22/2023"/>
    <d v="2023-05-22T00:00:00"/>
    <s v="Monday"/>
    <x v="4"/>
    <x v="0"/>
    <x v="3"/>
    <n v="1615.6498444279"/>
    <n v="18"/>
    <n v="278.828048937647"/>
    <x v="3"/>
  </r>
  <r>
    <s v="5/22/2023"/>
    <d v="2023-05-22T00:00:00"/>
    <s v="Monday"/>
    <x v="4"/>
    <x v="0"/>
    <x v="4"/>
    <n v="1245.4561483176999"/>
    <n v="14"/>
    <n v="431.87491729725599"/>
    <x v="3"/>
  </r>
  <r>
    <s v="5/23/2023"/>
    <d v="2023-05-23T00:00:00"/>
    <s v="Tuesday"/>
    <x v="4"/>
    <x v="0"/>
    <x v="0"/>
    <n v="1157.1313329498601"/>
    <n v="4"/>
    <n v="165.3110088"/>
    <x v="1"/>
  </r>
  <r>
    <s v="5/23/2023"/>
    <d v="2023-05-23T00:00:00"/>
    <s v="Tuesday"/>
    <x v="4"/>
    <x v="0"/>
    <x v="1"/>
    <n v="478.54585829936002"/>
    <n v="8"/>
    <n v="86.819136304788501"/>
    <x v="1"/>
  </r>
  <r>
    <s v="5/23/2023"/>
    <d v="2023-05-23T00:00:00"/>
    <s v="Tuesday"/>
    <x v="4"/>
    <x v="0"/>
    <x v="2"/>
    <n v="1166.8652736992501"/>
    <n v="9"/>
    <n v="378.75696517661697"/>
    <x v="1"/>
  </r>
  <r>
    <s v="5/23/2023"/>
    <d v="2023-05-23T00:00:00"/>
    <s v="Tuesday"/>
    <x v="4"/>
    <x v="0"/>
    <x v="3"/>
    <n v="1243.6719342817601"/>
    <n v="17"/>
    <n v="315.07028300705798"/>
    <x v="2"/>
  </r>
  <r>
    <s v="5/23/2023"/>
    <d v="2023-05-23T00:00:00"/>
    <s v="Tuesday"/>
    <x v="4"/>
    <x v="0"/>
    <x v="4"/>
    <n v="128.16353349419001"/>
    <n v="17"/>
    <n v="143.53814778104501"/>
    <x v="2"/>
  </r>
  <r>
    <s v="5/24/2023"/>
    <d v="2023-05-24T00:00:00"/>
    <s v="Wednesday"/>
    <x v="4"/>
    <x v="0"/>
    <x v="0"/>
    <n v="1478.8239265994"/>
    <n v="8"/>
    <n v="149.57708996676899"/>
    <x v="0"/>
  </r>
  <r>
    <s v="5/24/2023"/>
    <d v="2023-05-24T00:00:00"/>
    <s v="Wednesday"/>
    <x v="4"/>
    <x v="0"/>
    <x v="1"/>
    <n v="155.47245786900001"/>
    <n v="2"/>
    <n v="204.765845518416"/>
    <x v="3"/>
  </r>
  <r>
    <s v="5/24/2023"/>
    <d v="2023-05-24T00:00:00"/>
    <s v="Wednesday"/>
    <x v="4"/>
    <x v="0"/>
    <x v="2"/>
    <n v="684.11476479969997"/>
    <n v="18"/>
    <n v="251.45277103167899"/>
    <x v="0"/>
  </r>
  <r>
    <s v="5/24/2023"/>
    <d v="2023-05-24T00:00:00"/>
    <s v="Wednesday"/>
    <x v="4"/>
    <x v="0"/>
    <x v="3"/>
    <n v="436.13181159699297"/>
    <n v="12"/>
    <n v="131.948198544972"/>
    <x v="0"/>
  </r>
  <r>
    <s v="5/24/2023"/>
    <d v="2023-05-24T00:00:00"/>
    <s v="Wednesday"/>
    <x v="4"/>
    <x v="0"/>
    <x v="4"/>
    <n v="643.27814258845001"/>
    <n v="1"/>
    <n v="243.83540865688599"/>
    <x v="0"/>
  </r>
  <r>
    <s v="5/25/2023"/>
    <d v="2023-05-25T00:00:00"/>
    <s v="Thursday"/>
    <x v="4"/>
    <x v="0"/>
    <x v="0"/>
    <n v="1156.6731437440001"/>
    <n v="13"/>
    <n v="179.10177461525299"/>
    <x v="3"/>
  </r>
  <r>
    <s v="5/25/2023"/>
    <d v="2023-05-25T00:00:00"/>
    <s v="Thursday"/>
    <x v="4"/>
    <x v="0"/>
    <x v="1"/>
    <n v="755.78841696869995"/>
    <n v="12"/>
    <n v="104.865491834248"/>
    <x v="3"/>
  </r>
  <r>
    <s v="5/25/2023"/>
    <d v="2023-05-25T00:00:00"/>
    <s v="Thursday"/>
    <x v="4"/>
    <x v="0"/>
    <x v="2"/>
    <n v="683.38389487225299"/>
    <n v="19"/>
    <n v="198.38765808605299"/>
    <x v="0"/>
  </r>
  <r>
    <s v="5/25/2023"/>
    <d v="2023-05-25T00:00:00"/>
    <s v="Thursday"/>
    <x v="4"/>
    <x v="0"/>
    <x v="3"/>
    <n v="1317.545363599"/>
    <n v="10"/>
    <n v="173.18135032053399"/>
    <x v="2"/>
  </r>
  <r>
    <s v="5/25/2023"/>
    <d v="2023-05-25T00:00:00"/>
    <s v="Thursday"/>
    <x v="4"/>
    <x v="0"/>
    <x v="4"/>
    <n v="1.15838765697"/>
    <n v="9"/>
    <n v="242.82877429330799"/>
    <x v="3"/>
  </r>
  <r>
    <s v="5/26/2023"/>
    <d v="2023-05-26T00:00:00"/>
    <s v="Friday"/>
    <x v="4"/>
    <x v="0"/>
    <x v="0"/>
    <n v="118.36224678729999"/>
    <n v="18"/>
    <n v="342.69125305853697"/>
    <x v="1"/>
  </r>
  <r>
    <s v="5/26/2023"/>
    <d v="2023-05-26T00:00:00"/>
    <s v="Friday"/>
    <x v="4"/>
    <x v="0"/>
    <x v="1"/>
    <n v="847.55794758599995"/>
    <n v="9"/>
    <n v="132.05537531319601"/>
    <x v="0"/>
  </r>
  <r>
    <s v="5/26/2023"/>
    <d v="2023-05-26T00:00:00"/>
    <s v="Friday"/>
    <x v="4"/>
    <x v="0"/>
    <x v="2"/>
    <n v="955.66594354758001"/>
    <n v="13"/>
    <n v="214.775638792352"/>
    <x v="2"/>
  </r>
  <r>
    <s v="5/26/2023"/>
    <d v="2023-05-26T00:00:00"/>
    <s v="Friday"/>
    <x v="4"/>
    <x v="0"/>
    <x v="3"/>
    <n v="1186.6621432131999"/>
    <n v="11"/>
    <n v="378.72192751270302"/>
    <x v="2"/>
  </r>
  <r>
    <s v="5/26/2023"/>
    <d v="2023-05-26T00:00:00"/>
    <s v="Friday"/>
    <x v="4"/>
    <x v="0"/>
    <x v="4"/>
    <n v="658.35646657689995"/>
    <n v="1"/>
    <n v="223.09652074007101"/>
    <x v="1"/>
  </r>
  <r>
    <s v="5/27/2023"/>
    <d v="2023-05-27T00:00:00"/>
    <s v="Saturday"/>
    <x v="4"/>
    <x v="0"/>
    <x v="0"/>
    <n v="533.87237195180001"/>
    <n v="8"/>
    <n v="157.75497605134501"/>
    <x v="2"/>
  </r>
  <r>
    <s v="5/27/2023"/>
    <d v="2023-05-27T00:00:00"/>
    <s v="Saturday"/>
    <x v="4"/>
    <x v="0"/>
    <x v="1"/>
    <n v="1245.3668974750001"/>
    <n v="3"/>
    <n v="242.45824349261099"/>
    <x v="3"/>
  </r>
  <r>
    <s v="5/27/2023"/>
    <d v="2023-05-27T00:00:00"/>
    <s v="Saturday"/>
    <x v="4"/>
    <x v="0"/>
    <x v="2"/>
    <n v="141.4896693574"/>
    <n v="1"/>
    <n v="382.29386264872898"/>
    <x v="3"/>
  </r>
  <r>
    <s v="5/27/2023"/>
    <d v="2023-05-27T00:00:00"/>
    <s v="Saturday"/>
    <x v="4"/>
    <x v="0"/>
    <x v="3"/>
    <n v="898.25648269234"/>
    <n v="11"/>
    <n v="188.886939850641"/>
    <x v="0"/>
  </r>
  <r>
    <s v="5/27/2023"/>
    <d v="2023-05-27T00:00:00"/>
    <s v="Saturday"/>
    <x v="4"/>
    <x v="0"/>
    <x v="4"/>
    <n v="1154.322897113"/>
    <n v="12"/>
    <n v="150.01551720719499"/>
    <x v="2"/>
  </r>
  <r>
    <s v="5/28/2023"/>
    <d v="2023-05-28T00:00:00"/>
    <s v="Sunday"/>
    <x v="4"/>
    <x v="0"/>
    <x v="0"/>
    <n v="1176.91662782241"/>
    <n v="14"/>
    <n v="203.09657752432301"/>
    <x v="2"/>
  </r>
  <r>
    <s v="5/28/2023"/>
    <d v="2023-05-28T00:00:00"/>
    <s v="Sunday"/>
    <x v="4"/>
    <x v="0"/>
    <x v="1"/>
    <n v="931.42253979940006"/>
    <n v="3"/>
    <n v="206.111072536683"/>
    <x v="0"/>
  </r>
  <r>
    <s v="5/28/2023"/>
    <d v="2023-05-28T00:00:00"/>
    <s v="Sunday"/>
    <x v="4"/>
    <x v="0"/>
    <x v="2"/>
    <n v="71.695187617445995"/>
    <n v="12"/>
    <n v="195.44982844575199"/>
    <x v="3"/>
  </r>
  <r>
    <s v="5/28/2023"/>
    <d v="2023-05-28T00:00:00"/>
    <s v="Sunday"/>
    <x v="4"/>
    <x v="0"/>
    <x v="3"/>
    <n v="1185.1951962000001"/>
    <n v="6"/>
    <n v="389.536705184097"/>
    <x v="1"/>
  </r>
  <r>
    <s v="5/28/2023"/>
    <d v="2023-05-28T00:00:00"/>
    <s v="Sunday"/>
    <x v="4"/>
    <x v="0"/>
    <x v="4"/>
    <n v="111.2166718918"/>
    <n v="16"/>
    <n v="368.45474028856103"/>
    <x v="3"/>
  </r>
  <r>
    <s v="5/29/2023"/>
    <d v="2023-05-29T00:00:00"/>
    <s v="Monday"/>
    <x v="4"/>
    <x v="0"/>
    <x v="0"/>
    <n v="771.55353568850001"/>
    <n v="15"/>
    <n v="263.81401465609798"/>
    <x v="2"/>
  </r>
  <r>
    <s v="5/29/2023"/>
    <d v="2023-05-29T00:00:00"/>
    <s v="Monday"/>
    <x v="4"/>
    <x v="0"/>
    <x v="1"/>
    <n v="14.72616397529"/>
    <n v="5"/>
    <n v="186.99231728634001"/>
    <x v="3"/>
  </r>
  <r>
    <s v="5/29/2023"/>
    <d v="2023-05-29T00:00:00"/>
    <s v="Monday"/>
    <x v="4"/>
    <x v="0"/>
    <x v="2"/>
    <n v="638.11867215158998"/>
    <n v="7"/>
    <n v="130.44974324859999"/>
    <x v="2"/>
  </r>
  <r>
    <s v="5/29/2023"/>
    <d v="2023-05-29T00:00:00"/>
    <s v="Monday"/>
    <x v="4"/>
    <x v="0"/>
    <x v="3"/>
    <n v="615.91947719111795"/>
    <n v="12"/>
    <n v="61.842065050000002"/>
    <x v="1"/>
  </r>
  <r>
    <s v="5/29/2023"/>
    <d v="2023-05-29T00:00:00"/>
    <s v="Monday"/>
    <x v="4"/>
    <x v="0"/>
    <x v="4"/>
    <n v="1177.3646696796"/>
    <n v="4"/>
    <n v="416.90570359999998"/>
    <x v="0"/>
  </r>
  <r>
    <s v="5/30/2023"/>
    <d v="2023-05-30T00:00:00"/>
    <s v="Tuesday"/>
    <x v="4"/>
    <x v="0"/>
    <x v="0"/>
    <n v="1597.375784935"/>
    <n v="11"/>
    <n v="557.37063161745402"/>
    <x v="1"/>
  </r>
  <r>
    <s v="5/30/2023"/>
    <d v="2023-05-30T00:00:00"/>
    <s v="Tuesday"/>
    <x v="4"/>
    <x v="0"/>
    <x v="1"/>
    <n v="933.39323695580003"/>
    <n v="4"/>
    <n v="345.07205730028699"/>
    <x v="0"/>
  </r>
  <r>
    <s v="5/30/2023"/>
    <d v="2023-05-30T00:00:00"/>
    <s v="Tuesday"/>
    <x v="4"/>
    <x v="0"/>
    <x v="2"/>
    <n v="1446.959315862"/>
    <n v="9"/>
    <n v="551.60036229130299"/>
    <x v="2"/>
  </r>
  <r>
    <s v="5/30/2023"/>
    <d v="2023-05-30T00:00:00"/>
    <s v="Tuesday"/>
    <x v="4"/>
    <x v="0"/>
    <x v="3"/>
    <n v="151.44486735461999"/>
    <n v="12"/>
    <n v="176.19956225368"/>
    <x v="2"/>
  </r>
  <r>
    <s v="5/30/2023"/>
    <d v="2023-05-30T00:00:00"/>
    <s v="Tuesday"/>
    <x v="4"/>
    <x v="0"/>
    <x v="4"/>
    <n v="967.73226442326995"/>
    <n v="8"/>
    <n v="370.46464693150199"/>
    <x v="0"/>
  </r>
  <r>
    <s v="5/31/2023"/>
    <d v="2023-05-31T00:00:00"/>
    <s v="Wednesday"/>
    <x v="4"/>
    <x v="0"/>
    <x v="0"/>
    <n v="1637.9367669195999"/>
    <n v="11"/>
    <n v="636.87741229754704"/>
    <x v="3"/>
  </r>
  <r>
    <s v="5/31/2023"/>
    <d v="2023-05-31T00:00:00"/>
    <s v="Wednesday"/>
    <x v="4"/>
    <x v="0"/>
    <x v="1"/>
    <n v="1129.8934818309999"/>
    <n v="9"/>
    <n v="182.47135091089601"/>
    <x v="2"/>
  </r>
  <r>
    <s v="5/31/2023"/>
    <d v="2023-05-31T00:00:00"/>
    <s v="Wednesday"/>
    <x v="4"/>
    <x v="0"/>
    <x v="2"/>
    <n v="887.44185928180002"/>
    <n v="10"/>
    <n v="172.646437778337"/>
    <x v="1"/>
  </r>
  <r>
    <s v="5/31/2023"/>
    <d v="2023-05-31T00:00:00"/>
    <s v="Wednesday"/>
    <x v="4"/>
    <x v="0"/>
    <x v="3"/>
    <n v="94.685479731290002"/>
    <n v="11"/>
    <n v="356.89479698384997"/>
    <x v="3"/>
  </r>
  <r>
    <s v="5/31/2023"/>
    <d v="2023-05-31T00:00:00"/>
    <s v="Wednesday"/>
    <x v="4"/>
    <x v="0"/>
    <x v="4"/>
    <n v="61.561934483610003"/>
    <n v="11"/>
    <n v="108.662619520889"/>
    <x v="0"/>
  </r>
  <r>
    <s v="6/1/2023"/>
    <d v="2023-06-01T00:00:00"/>
    <s v="Thursday"/>
    <x v="5"/>
    <x v="0"/>
    <x v="0"/>
    <n v="1473.4324237344999"/>
    <n v="15"/>
    <n v="552.89911614575499"/>
    <x v="3"/>
  </r>
  <r>
    <s v="6/1/2023"/>
    <d v="2023-06-01T00:00:00"/>
    <s v="Thursday"/>
    <x v="5"/>
    <x v="0"/>
    <x v="1"/>
    <n v="19.313342882330002"/>
    <n v="9"/>
    <n v="334.72611034020701"/>
    <x v="2"/>
  </r>
  <r>
    <s v="6/1/2023"/>
    <d v="2023-06-01T00:00:00"/>
    <s v="Thursday"/>
    <x v="5"/>
    <x v="0"/>
    <x v="2"/>
    <n v="1523.5492899633"/>
    <n v="17"/>
    <n v="577.68570910000005"/>
    <x v="3"/>
  </r>
  <r>
    <s v="6/1/2023"/>
    <d v="2023-06-01T00:00:00"/>
    <s v="Thursday"/>
    <x v="5"/>
    <x v="0"/>
    <x v="3"/>
    <n v="749.45712951993005"/>
    <n v="1"/>
    <n v="290.32487993945199"/>
    <x v="1"/>
  </r>
  <r>
    <s v="6/1/2023"/>
    <d v="2023-06-01T00:00:00"/>
    <s v="Thursday"/>
    <x v="5"/>
    <x v="0"/>
    <x v="4"/>
    <n v="1626.8616165843"/>
    <n v="2"/>
    <n v="280.74423629575602"/>
    <x v="0"/>
  </r>
  <r>
    <s v="6/2/2023"/>
    <d v="2023-06-02T00:00:00"/>
    <s v="Friday"/>
    <x v="5"/>
    <x v="0"/>
    <x v="0"/>
    <n v="1196.3962488724001"/>
    <n v="18"/>
    <n v="315.91787182394501"/>
    <x v="2"/>
  </r>
  <r>
    <s v="6/2/2023"/>
    <d v="2023-06-02T00:00:00"/>
    <s v="Friday"/>
    <x v="5"/>
    <x v="0"/>
    <x v="1"/>
    <n v="155.39583277137999"/>
    <n v="13"/>
    <n v="250.740290827747"/>
    <x v="1"/>
  </r>
  <r>
    <s v="6/2/2023"/>
    <d v="2023-06-02T00:00:00"/>
    <s v="Friday"/>
    <x v="5"/>
    <x v="0"/>
    <x v="2"/>
    <n v="939.77525934139999"/>
    <n v="12"/>
    <n v="347.06125732535799"/>
    <x v="3"/>
  </r>
  <r>
    <s v="6/2/2023"/>
    <d v="2023-06-02T00:00:00"/>
    <s v="Friday"/>
    <x v="5"/>
    <x v="0"/>
    <x v="3"/>
    <n v="63.357315555"/>
    <n v="1"/>
    <n v="88.943237995650406"/>
    <x v="1"/>
  </r>
  <r>
    <s v="6/2/2023"/>
    <d v="2023-06-02T00:00:00"/>
    <s v="Friday"/>
    <x v="5"/>
    <x v="0"/>
    <x v="4"/>
    <n v="1134.35852432553"/>
    <n v="12"/>
    <n v="440.34447194369102"/>
    <x v="3"/>
  </r>
  <r>
    <s v="6/3/2023"/>
    <d v="2023-06-03T00:00:00"/>
    <s v="Saturday"/>
    <x v="5"/>
    <x v="0"/>
    <x v="0"/>
    <n v="1111.32821539417"/>
    <n v="4"/>
    <n v="428.33805950608797"/>
    <x v="3"/>
  </r>
  <r>
    <s v="6/3/2023"/>
    <d v="2023-06-03T00:00:00"/>
    <s v="Saturday"/>
    <x v="5"/>
    <x v="0"/>
    <x v="1"/>
    <n v="1164.8597129760001"/>
    <n v="12"/>
    <n v="207.033519792383"/>
    <x v="0"/>
  </r>
  <r>
    <s v="6/3/2023"/>
    <d v="2023-06-03T00:00:00"/>
    <s v="Saturday"/>
    <x v="5"/>
    <x v="0"/>
    <x v="2"/>
    <n v="966.21285122116399"/>
    <n v="18"/>
    <n v="268.67314624586697"/>
    <x v="1"/>
  </r>
  <r>
    <s v="6/3/2023"/>
    <d v="2023-06-03T00:00:00"/>
    <s v="Saturday"/>
    <x v="5"/>
    <x v="0"/>
    <x v="3"/>
    <n v="753.27526823540995"/>
    <n v="17"/>
    <n v="292.29960844811302"/>
    <x v="0"/>
  </r>
  <r>
    <s v="6/3/2023"/>
    <d v="2023-06-03T00:00:00"/>
    <s v="Saturday"/>
    <x v="5"/>
    <x v="0"/>
    <x v="4"/>
    <n v="1395.8765160999999"/>
    <n v="16"/>
    <n v="548.53782320144001"/>
    <x v="1"/>
  </r>
  <r>
    <s v="6/4/2023"/>
    <d v="2023-06-04T00:00:00"/>
    <s v="Sunday"/>
    <x v="5"/>
    <x v="0"/>
    <x v="0"/>
    <n v="1314.9952877714099"/>
    <n v="4"/>
    <n v="229.07493371053701"/>
    <x v="0"/>
  </r>
  <r>
    <s v="6/4/2023"/>
    <d v="2023-06-04T00:00:00"/>
    <s v="Sunday"/>
    <x v="5"/>
    <x v="0"/>
    <x v="1"/>
    <n v="94.665818699178999"/>
    <n v="11"/>
    <n v="271.38178230650999"/>
    <x v="1"/>
  </r>
  <r>
    <s v="6/4/2023"/>
    <d v="2023-06-04T00:00:00"/>
    <s v="Sunday"/>
    <x v="5"/>
    <x v="0"/>
    <x v="2"/>
    <n v="191.843194536"/>
    <n v="5"/>
    <n v="112.140903815011"/>
    <x v="0"/>
  </r>
  <r>
    <s v="6/4/2023"/>
    <d v="2023-06-04T00:00:00"/>
    <s v="Sunday"/>
    <x v="5"/>
    <x v="0"/>
    <x v="3"/>
    <n v="1316.3998936129501"/>
    <n v="10"/>
    <n v="449.45306661287401"/>
    <x v="0"/>
  </r>
  <r>
    <s v="6/4/2023"/>
    <d v="2023-06-04T00:00:00"/>
    <s v="Sunday"/>
    <x v="5"/>
    <x v="0"/>
    <x v="4"/>
    <n v="791.29858664553899"/>
    <n v="2"/>
    <n v="201.310384303896"/>
    <x v="3"/>
  </r>
  <r>
    <s v="6/5/2023"/>
    <d v="2023-06-05T00:00:00"/>
    <s v="Monday"/>
    <x v="5"/>
    <x v="0"/>
    <x v="0"/>
    <n v="674.74258269331995"/>
    <n v="5"/>
    <n v="117.231282202128"/>
    <x v="0"/>
  </r>
  <r>
    <s v="6/5/2023"/>
    <d v="2023-06-05T00:00:00"/>
    <s v="Monday"/>
    <x v="5"/>
    <x v="0"/>
    <x v="1"/>
    <n v="1629.91653674995"/>
    <n v="10"/>
    <n v="603.74541822406695"/>
    <x v="2"/>
  </r>
  <r>
    <s v="6/5/2023"/>
    <d v="2023-06-05T00:00:00"/>
    <s v="Monday"/>
    <x v="5"/>
    <x v="0"/>
    <x v="2"/>
    <n v="925.89228979999996"/>
    <n v="2"/>
    <n v="368.48337714611898"/>
    <x v="3"/>
  </r>
  <r>
    <s v="6/5/2023"/>
    <d v="2023-06-05T00:00:00"/>
    <s v="Monday"/>
    <x v="5"/>
    <x v="0"/>
    <x v="3"/>
    <n v="129.54289519192599"/>
    <n v="3"/>
    <n v="28.2063404249743"/>
    <x v="0"/>
  </r>
  <r>
    <s v="6/5/2023"/>
    <d v="2023-06-05T00:00:00"/>
    <s v="Monday"/>
    <x v="5"/>
    <x v="0"/>
    <x v="4"/>
    <n v="16.112534524200001"/>
    <n v="3"/>
    <n v="187.71033956899501"/>
    <x v="1"/>
  </r>
  <r>
    <s v="6/6/2023"/>
    <d v="2023-06-06T00:00:00"/>
    <s v="Tuesday"/>
    <x v="5"/>
    <x v="0"/>
    <x v="0"/>
    <n v="44.381459181499999"/>
    <n v="18"/>
    <n v="175.01750184321099"/>
    <x v="0"/>
  </r>
  <r>
    <s v="6/6/2023"/>
    <d v="2023-06-06T00:00:00"/>
    <s v="Tuesday"/>
    <x v="5"/>
    <x v="0"/>
    <x v="1"/>
    <n v="132.25416951700001"/>
    <n v="18"/>
    <n v="386.75556444144001"/>
    <x v="2"/>
  </r>
  <r>
    <s v="6/6/2023"/>
    <d v="2023-06-06T00:00:00"/>
    <s v="Tuesday"/>
    <x v="5"/>
    <x v="0"/>
    <x v="2"/>
    <n v="1146.149332665"/>
    <n v="5"/>
    <n v="126.99981656456301"/>
    <x v="0"/>
  </r>
  <r>
    <s v="6/6/2023"/>
    <d v="2023-06-06T00:00:00"/>
    <s v="Tuesday"/>
    <x v="5"/>
    <x v="0"/>
    <x v="3"/>
    <n v="1197.2573244553"/>
    <n v="2"/>
    <n v="363.80457059925698"/>
    <x v="0"/>
  </r>
  <r>
    <s v="6/6/2023"/>
    <d v="2023-06-06T00:00:00"/>
    <s v="Tuesday"/>
    <x v="5"/>
    <x v="0"/>
    <x v="4"/>
    <n v="131.76833593456999"/>
    <n v="11"/>
    <n v="277.54299214386901"/>
    <x v="0"/>
  </r>
  <r>
    <s v="6/7/2023"/>
    <d v="2023-06-07T00:00:00"/>
    <s v="Wednesday"/>
    <x v="5"/>
    <x v="0"/>
    <x v="0"/>
    <n v="1175.3238941417401"/>
    <n v="3"/>
    <n v="232.59839604950099"/>
    <x v="1"/>
  </r>
  <r>
    <s v="6/7/2023"/>
    <d v="2023-06-07T00:00:00"/>
    <s v="Wednesday"/>
    <x v="5"/>
    <x v="0"/>
    <x v="1"/>
    <n v="73.364785536100001"/>
    <n v="15"/>
    <n v="271.05829010000002"/>
    <x v="2"/>
  </r>
  <r>
    <s v="6/7/2023"/>
    <d v="2023-06-07T00:00:00"/>
    <s v="Wednesday"/>
    <x v="5"/>
    <x v="0"/>
    <x v="2"/>
    <n v="6.9591229999999999"/>
    <n v="8"/>
    <n v="132.36907389263101"/>
    <x v="2"/>
  </r>
  <r>
    <s v="6/7/2023"/>
    <d v="2023-06-07T00:00:00"/>
    <s v="Wednesday"/>
    <x v="5"/>
    <x v="0"/>
    <x v="3"/>
    <n v="961.73526388673895"/>
    <n v="15"/>
    <n v="253.274646233997"/>
    <x v="0"/>
  </r>
  <r>
    <s v="6/7/2023"/>
    <d v="2023-06-07T00:00:00"/>
    <s v="Wednesday"/>
    <x v="5"/>
    <x v="0"/>
    <x v="4"/>
    <n v="1453.3464797419999"/>
    <n v="8"/>
    <n v="226.49063339616299"/>
    <x v="1"/>
  </r>
  <r>
    <s v="6/8/2023"/>
    <d v="2023-06-08T00:00:00"/>
    <s v="Thursday"/>
    <x v="5"/>
    <x v="0"/>
    <x v="0"/>
    <n v="87.972388714160004"/>
    <n v="14"/>
    <n v="105.690048477697"/>
    <x v="3"/>
  </r>
  <r>
    <s v="6/8/2023"/>
    <d v="2023-06-08T00:00:00"/>
    <s v="Thursday"/>
    <x v="5"/>
    <x v="0"/>
    <x v="1"/>
    <n v="125.965946511"/>
    <n v="15"/>
    <n v="373.275059"/>
    <x v="0"/>
  </r>
  <r>
    <s v="6/8/2023"/>
    <d v="2023-06-08T00:00:00"/>
    <s v="Thursday"/>
    <x v="5"/>
    <x v="0"/>
    <x v="2"/>
    <n v="1379.6888667568001"/>
    <n v="8"/>
    <n v="157.687919725688"/>
    <x v="3"/>
  </r>
  <r>
    <s v="6/8/2023"/>
    <d v="2023-06-08T00:00:00"/>
    <s v="Thursday"/>
    <x v="5"/>
    <x v="0"/>
    <x v="3"/>
    <n v="889.36121899664897"/>
    <n v="2"/>
    <n v="295.420776134579"/>
    <x v="3"/>
  </r>
  <r>
    <s v="6/8/2023"/>
    <d v="2023-06-08T00:00:00"/>
    <s v="Thursday"/>
    <x v="5"/>
    <x v="0"/>
    <x v="4"/>
    <n v="714.34635797819499"/>
    <n v="17"/>
    <n v="186.964704903675"/>
    <x v="3"/>
  </r>
  <r>
    <s v="6/9/2023"/>
    <d v="2023-06-09T00:00:00"/>
    <s v="Friday"/>
    <x v="5"/>
    <x v="0"/>
    <x v="0"/>
    <n v="1126.7965196548"/>
    <n v="13"/>
    <n v="125.380144135336"/>
    <x v="2"/>
  </r>
  <r>
    <s v="6/9/2023"/>
    <d v="2023-06-09T00:00:00"/>
    <s v="Friday"/>
    <x v="5"/>
    <x v="0"/>
    <x v="1"/>
    <n v="15.7686263929"/>
    <n v="6"/>
    <n v="174.67494967678499"/>
    <x v="2"/>
  </r>
  <r>
    <s v="6/9/2023"/>
    <d v="2023-06-09T00:00:00"/>
    <s v="Friday"/>
    <x v="5"/>
    <x v="0"/>
    <x v="2"/>
    <n v="173.3225899713"/>
    <n v="8"/>
    <n v="290.41318960000001"/>
    <x v="2"/>
  </r>
  <r>
    <s v="6/9/2023"/>
    <d v="2023-06-09T00:00:00"/>
    <s v="Friday"/>
    <x v="5"/>
    <x v="0"/>
    <x v="3"/>
    <n v="991.57295977593003"/>
    <n v="19"/>
    <n v="114.596361434513"/>
    <x v="3"/>
  </r>
  <r>
    <s v="6/9/2023"/>
    <d v="2023-06-09T00:00:00"/>
    <s v="Friday"/>
    <x v="5"/>
    <x v="0"/>
    <x v="4"/>
    <n v="933.96289590000003"/>
    <n v="12"/>
    <n v="156.24082694629499"/>
    <x v="1"/>
  </r>
  <r>
    <s v="6/10/2023"/>
    <d v="2023-06-10T00:00:00"/>
    <s v="Saturday"/>
    <x v="5"/>
    <x v="0"/>
    <x v="0"/>
    <n v="674.85674539490003"/>
    <n v="13"/>
    <n v="153.049923772466"/>
    <x v="2"/>
  </r>
  <r>
    <s v="6/10/2023"/>
    <d v="2023-06-10T00:00:00"/>
    <s v="Saturday"/>
    <x v="5"/>
    <x v="0"/>
    <x v="1"/>
    <n v="1544.236157366"/>
    <n v="5"/>
    <n v="484.48694252092901"/>
    <x v="1"/>
  </r>
  <r>
    <s v="6/10/2023"/>
    <d v="2023-06-10T00:00:00"/>
    <s v="Saturday"/>
    <x v="5"/>
    <x v="0"/>
    <x v="2"/>
    <n v="815.18483786349998"/>
    <n v="16"/>
    <n v="302.03122786477098"/>
    <x v="2"/>
  </r>
  <r>
    <s v="6/10/2023"/>
    <d v="2023-06-10T00:00:00"/>
    <s v="Saturday"/>
    <x v="5"/>
    <x v="0"/>
    <x v="3"/>
    <n v="887.14719165493"/>
    <n v="4"/>
    <n v="350.82896080979498"/>
    <x v="3"/>
  </r>
  <r>
    <s v="6/10/2023"/>
    <d v="2023-06-10T00:00:00"/>
    <s v="Saturday"/>
    <x v="5"/>
    <x v="0"/>
    <x v="4"/>
    <n v="176.1583627437"/>
    <n v="8"/>
    <n v="321.02264154295199"/>
    <x v="1"/>
  </r>
  <r>
    <s v="6/11/2023"/>
    <d v="2023-06-11T00:00:00"/>
    <s v="Sunday"/>
    <x v="5"/>
    <x v="0"/>
    <x v="0"/>
    <n v="147.683487324"/>
    <n v="10"/>
    <n v="460.02329587849698"/>
    <x v="1"/>
  </r>
  <r>
    <s v="6/11/2023"/>
    <d v="2023-06-11T00:00:00"/>
    <s v="Sunday"/>
    <x v="5"/>
    <x v="0"/>
    <x v="1"/>
    <n v="139.97717158379999"/>
    <n v="17"/>
    <n v="401.08439243172199"/>
    <x v="2"/>
  </r>
  <r>
    <s v="6/11/2023"/>
    <d v="2023-06-11T00:00:00"/>
    <s v="Sunday"/>
    <x v="5"/>
    <x v="0"/>
    <x v="2"/>
    <n v="475.23398796935999"/>
    <n v="17"/>
    <n v="133.28705326367901"/>
    <x v="3"/>
  </r>
  <r>
    <s v="6/11/2023"/>
    <d v="2023-06-11T00:00:00"/>
    <s v="Sunday"/>
    <x v="5"/>
    <x v="0"/>
    <x v="3"/>
    <n v="722.65837223318999"/>
    <n v="5"/>
    <n v="94.490057900749903"/>
    <x v="0"/>
  </r>
  <r>
    <s v="6/11/2023"/>
    <d v="2023-06-11T00:00:00"/>
    <s v="Sunday"/>
    <x v="5"/>
    <x v="0"/>
    <x v="4"/>
    <n v="199.55235789"/>
    <n v="19"/>
    <n v="231.66242018783399"/>
    <x v="0"/>
  </r>
  <r>
    <s v="6/12/2023"/>
    <d v="2023-06-12T00:00:00"/>
    <s v="Monday"/>
    <x v="5"/>
    <x v="0"/>
    <x v="0"/>
    <n v="638.27136146333805"/>
    <n v="15"/>
    <n v="200.60740644236401"/>
    <x v="1"/>
  </r>
  <r>
    <s v="6/12/2023"/>
    <d v="2023-06-12T00:00:00"/>
    <s v="Monday"/>
    <x v="5"/>
    <x v="0"/>
    <x v="1"/>
    <n v="945.69815842114997"/>
    <n v="6"/>
    <n v="355.86466259005198"/>
    <x v="1"/>
  </r>
  <r>
    <s v="6/12/2023"/>
    <d v="2023-06-12T00:00:00"/>
    <s v="Monday"/>
    <x v="5"/>
    <x v="0"/>
    <x v="2"/>
    <n v="938.52286246776703"/>
    <n v="9"/>
    <n v="148.82361711377399"/>
    <x v="0"/>
  </r>
  <r>
    <s v="6/12/2023"/>
    <d v="2023-06-12T00:00:00"/>
    <s v="Monday"/>
    <x v="5"/>
    <x v="0"/>
    <x v="3"/>
    <n v="979.63666839999996"/>
    <n v="6"/>
    <n v="196.59655902594201"/>
    <x v="3"/>
  </r>
  <r>
    <s v="6/12/2023"/>
    <d v="2023-06-12T00:00:00"/>
    <s v="Monday"/>
    <x v="5"/>
    <x v="0"/>
    <x v="4"/>
    <n v="1221.2119457824001"/>
    <n v="13"/>
    <n v="469.10072350276698"/>
    <x v="0"/>
  </r>
  <r>
    <s v="6/13/2023"/>
    <d v="2023-06-13T00:00:00"/>
    <s v="Tuesday"/>
    <x v="5"/>
    <x v="0"/>
    <x v="0"/>
    <n v="1342.3398194593699"/>
    <n v="17"/>
    <n v="287.46920413629198"/>
    <x v="1"/>
  </r>
  <r>
    <s v="6/13/2023"/>
    <d v="2023-06-13T00:00:00"/>
    <s v="Tuesday"/>
    <x v="5"/>
    <x v="0"/>
    <x v="1"/>
    <n v="269.48893681520002"/>
    <n v="4"/>
    <n v="58.020991017833701"/>
    <x v="1"/>
  </r>
  <r>
    <s v="6/13/2023"/>
    <d v="2023-06-13T00:00:00"/>
    <s v="Tuesday"/>
    <x v="5"/>
    <x v="0"/>
    <x v="2"/>
    <n v="143.22791428223999"/>
    <n v="11"/>
    <n v="366.90242111331497"/>
    <x v="3"/>
  </r>
  <r>
    <s v="6/13/2023"/>
    <d v="2023-06-13T00:00:00"/>
    <s v="Tuesday"/>
    <x v="5"/>
    <x v="0"/>
    <x v="3"/>
    <n v="1145.838372619"/>
    <n v="2"/>
    <n v="265.03056529147102"/>
    <x v="3"/>
  </r>
  <r>
    <s v="6/13/2023"/>
    <d v="2023-06-13T00:00:00"/>
    <s v="Tuesday"/>
    <x v="5"/>
    <x v="0"/>
    <x v="4"/>
    <n v="1374.36878743237"/>
    <n v="19"/>
    <n v="428.60783931194601"/>
    <x v="0"/>
  </r>
  <r>
    <s v="6/14/2023"/>
    <d v="2023-06-14T00:00:00"/>
    <s v="Wednesday"/>
    <x v="5"/>
    <x v="0"/>
    <x v="0"/>
    <n v="1545.7669549899099"/>
    <n v="6"/>
    <n v="209.525167279892"/>
    <x v="3"/>
  </r>
  <r>
    <s v="6/14/2023"/>
    <d v="2023-06-14T00:00:00"/>
    <s v="Wednesday"/>
    <x v="5"/>
    <x v="0"/>
    <x v="1"/>
    <n v="111.989191644"/>
    <n v="3"/>
    <n v="390.361656382332"/>
    <x v="3"/>
  </r>
  <r>
    <s v="6/14/2023"/>
    <d v="2023-06-14T00:00:00"/>
    <s v="Wednesday"/>
    <x v="5"/>
    <x v="0"/>
    <x v="2"/>
    <n v="856.34876319747798"/>
    <n v="2"/>
    <n v="309.50517539999998"/>
    <x v="1"/>
  </r>
  <r>
    <s v="6/14/2023"/>
    <d v="2023-06-14T00:00:00"/>
    <s v="Wednesday"/>
    <x v="5"/>
    <x v="0"/>
    <x v="3"/>
    <n v="741.16727787629998"/>
    <n v="5"/>
    <n v="89.879481830000003"/>
    <x v="2"/>
  </r>
  <r>
    <s v="6/14/2023"/>
    <d v="2023-06-14T00:00:00"/>
    <s v="Wednesday"/>
    <x v="5"/>
    <x v="0"/>
    <x v="4"/>
    <n v="1333.4735971395901"/>
    <n v="16"/>
    <n v="526.15095669375398"/>
    <x v="1"/>
  </r>
  <r>
    <s v="6/15/2023"/>
    <d v="2023-06-15T00:00:00"/>
    <s v="Thursday"/>
    <x v="5"/>
    <x v="0"/>
    <x v="0"/>
    <n v="158.41179953100001"/>
    <n v="18"/>
    <n v="275.391531981095"/>
    <x v="3"/>
  </r>
  <r>
    <s v="6/15/2023"/>
    <d v="2023-06-15T00:00:00"/>
    <s v="Thursday"/>
    <x v="5"/>
    <x v="0"/>
    <x v="1"/>
    <n v="12.9245465231"/>
    <n v="11"/>
    <n v="160.722342589715"/>
    <x v="3"/>
  </r>
  <r>
    <s v="6/15/2023"/>
    <d v="2023-06-15T00:00:00"/>
    <s v="Thursday"/>
    <x v="5"/>
    <x v="0"/>
    <x v="2"/>
    <n v="88.764176676000005"/>
    <n v="17"/>
    <n v="307.46952935196498"/>
    <x v="0"/>
  </r>
  <r>
    <s v="6/15/2023"/>
    <d v="2023-06-15T00:00:00"/>
    <s v="Thursday"/>
    <x v="5"/>
    <x v="0"/>
    <x v="3"/>
    <n v="811.22981892163"/>
    <n v="1"/>
    <n v="150.666042787202"/>
    <x v="3"/>
  </r>
  <r>
    <s v="6/15/2023"/>
    <d v="2023-06-15T00:00:00"/>
    <s v="Thursday"/>
    <x v="5"/>
    <x v="0"/>
    <x v="4"/>
    <n v="146.11831297494001"/>
    <n v="9"/>
    <n v="446.26058122018298"/>
    <x v="0"/>
  </r>
  <r>
    <s v="6/16/2023"/>
    <d v="2023-06-16T00:00:00"/>
    <s v="Friday"/>
    <x v="5"/>
    <x v="0"/>
    <x v="0"/>
    <n v="149.42313623931"/>
    <n v="7"/>
    <n v="304.00176982149901"/>
    <x v="2"/>
  </r>
  <r>
    <s v="6/16/2023"/>
    <d v="2023-06-16T00:00:00"/>
    <s v="Friday"/>
    <x v="5"/>
    <x v="0"/>
    <x v="1"/>
    <n v="987.84449498926199"/>
    <n v="19"/>
    <n v="331.50149126178297"/>
    <x v="0"/>
  </r>
  <r>
    <s v="6/16/2023"/>
    <d v="2023-06-16T00:00:00"/>
    <s v="Friday"/>
    <x v="5"/>
    <x v="0"/>
    <x v="2"/>
    <n v="911.72538461933004"/>
    <n v="18"/>
    <n v="348.62528085132601"/>
    <x v="0"/>
  </r>
  <r>
    <s v="6/16/2023"/>
    <d v="2023-06-16T00:00:00"/>
    <s v="Friday"/>
    <x v="5"/>
    <x v="0"/>
    <x v="3"/>
    <n v="841.58896441130003"/>
    <n v="8"/>
    <n v="101.201708280706"/>
    <x v="0"/>
  </r>
  <r>
    <s v="6/16/2023"/>
    <d v="2023-06-16T00:00:00"/>
    <s v="Friday"/>
    <x v="5"/>
    <x v="0"/>
    <x v="4"/>
    <n v="1116.45177339"/>
    <n v="9"/>
    <n v="358.78885360275399"/>
    <x v="2"/>
  </r>
  <r>
    <s v="6/17/2023"/>
    <d v="2023-06-17T00:00:00"/>
    <s v="Saturday"/>
    <x v="5"/>
    <x v="0"/>
    <x v="0"/>
    <n v="111.618161188"/>
    <n v="9"/>
    <n v="163.20654648040701"/>
    <x v="0"/>
  </r>
  <r>
    <s v="6/17/2023"/>
    <d v="2023-06-17T00:00:00"/>
    <s v="Saturday"/>
    <x v="5"/>
    <x v="0"/>
    <x v="1"/>
    <n v="551.41223472976003"/>
    <n v="10"/>
    <n v="140.53589044800901"/>
    <x v="1"/>
  </r>
  <r>
    <s v="6/17/2023"/>
    <d v="2023-06-17T00:00:00"/>
    <s v="Saturday"/>
    <x v="5"/>
    <x v="0"/>
    <x v="2"/>
    <n v="84.992819677930001"/>
    <n v="16"/>
    <n v="232.81208720000001"/>
    <x v="3"/>
  </r>
  <r>
    <s v="6/17/2023"/>
    <d v="2023-06-17T00:00:00"/>
    <s v="Saturday"/>
    <x v="5"/>
    <x v="0"/>
    <x v="3"/>
    <n v="162.18198819680001"/>
    <n v="11"/>
    <n v="295.93179289143302"/>
    <x v="1"/>
  </r>
  <r>
    <s v="6/17/2023"/>
    <d v="2023-06-17T00:00:00"/>
    <s v="Saturday"/>
    <x v="5"/>
    <x v="0"/>
    <x v="4"/>
    <n v="12.83311187"/>
    <n v="15"/>
    <n v="393.44511949999998"/>
    <x v="1"/>
  </r>
  <r>
    <s v="6/18/2023"/>
    <d v="2023-06-18T00:00:00"/>
    <s v="Sunday"/>
    <x v="5"/>
    <x v="0"/>
    <x v="0"/>
    <n v="1529.7127799351199"/>
    <n v="19"/>
    <n v="439.172329895975"/>
    <x v="1"/>
  </r>
  <r>
    <s v="6/18/2023"/>
    <d v="2023-06-18T00:00:00"/>
    <s v="Sunday"/>
    <x v="5"/>
    <x v="0"/>
    <x v="1"/>
    <n v="811.63535667462997"/>
    <n v="2"/>
    <n v="146.27335989205801"/>
    <x v="2"/>
  </r>
  <r>
    <s v="6/18/2023"/>
    <d v="2023-06-18T00:00:00"/>
    <s v="Sunday"/>
    <x v="5"/>
    <x v="0"/>
    <x v="2"/>
    <n v="728.52564383196"/>
    <n v="10"/>
    <n v="171.35355140098"/>
    <x v="3"/>
  </r>
  <r>
    <s v="6/18/2023"/>
    <d v="2023-06-18T00:00:00"/>
    <s v="Sunday"/>
    <x v="5"/>
    <x v="0"/>
    <x v="3"/>
    <n v="1436.5181747445299"/>
    <n v="16"/>
    <n v="395.138874342723"/>
    <x v="1"/>
  </r>
  <r>
    <s v="6/18/2023"/>
    <d v="2023-06-18T00:00:00"/>
    <s v="Sunday"/>
    <x v="5"/>
    <x v="0"/>
    <x v="4"/>
    <n v="1196.6842826484999"/>
    <n v="4"/>
    <n v="459.549360080734"/>
    <x v="2"/>
  </r>
  <r>
    <s v="6/19/2023"/>
    <d v="2023-06-19T00:00:00"/>
    <s v="Monday"/>
    <x v="5"/>
    <x v="0"/>
    <x v="0"/>
    <n v="539.42915516864002"/>
    <n v="10"/>
    <n v="152.91431714237501"/>
    <x v="1"/>
  </r>
  <r>
    <s v="6/19/2023"/>
    <d v="2023-06-19T00:00:00"/>
    <s v="Monday"/>
    <x v="5"/>
    <x v="0"/>
    <x v="1"/>
    <n v="1165.4428825718501"/>
    <n v="4"/>
    <n v="361.68573325813401"/>
    <x v="0"/>
  </r>
  <r>
    <s v="6/19/2023"/>
    <d v="2023-06-19T00:00:00"/>
    <s v="Monday"/>
    <x v="5"/>
    <x v="0"/>
    <x v="2"/>
    <n v="112.17676492139999"/>
    <n v="13"/>
    <n v="245.174269562858"/>
    <x v="0"/>
  </r>
  <r>
    <s v="6/19/2023"/>
    <d v="2023-06-19T00:00:00"/>
    <s v="Monday"/>
    <x v="5"/>
    <x v="0"/>
    <x v="3"/>
    <n v="1186.3655648171"/>
    <n v="9"/>
    <n v="278.88639621982003"/>
    <x v="0"/>
  </r>
  <r>
    <s v="6/19/2023"/>
    <d v="2023-06-19T00:00:00"/>
    <s v="Monday"/>
    <x v="5"/>
    <x v="0"/>
    <x v="4"/>
    <n v="951.13612676216701"/>
    <n v="10"/>
    <n v="208.974684615337"/>
    <x v="0"/>
  </r>
  <r>
    <s v="6/20/2023"/>
    <d v="2023-06-20T00:00:00"/>
    <s v="Tuesday"/>
    <x v="5"/>
    <x v="0"/>
    <x v="0"/>
    <n v="1427.3386393978999"/>
    <n v="6"/>
    <n v="561.08978311048304"/>
    <x v="0"/>
  </r>
  <r>
    <s v="6/20/2023"/>
    <d v="2023-06-20T00:00:00"/>
    <s v="Tuesday"/>
    <x v="5"/>
    <x v="0"/>
    <x v="1"/>
    <n v="129.28711219729999"/>
    <n v="10"/>
    <n v="123.947060542805"/>
    <x v="2"/>
  </r>
  <r>
    <s v="6/20/2023"/>
    <d v="2023-06-20T00:00:00"/>
    <s v="Tuesday"/>
    <x v="5"/>
    <x v="0"/>
    <x v="2"/>
    <n v="1218.4146587289499"/>
    <n v="15"/>
    <n v="216.40688302870299"/>
    <x v="0"/>
  </r>
  <r>
    <s v="6/20/2023"/>
    <d v="2023-06-20T00:00:00"/>
    <s v="Tuesday"/>
    <x v="5"/>
    <x v="0"/>
    <x v="3"/>
    <n v="93.152668761699999"/>
    <n v="9"/>
    <n v="209.09383444846"/>
    <x v="1"/>
  </r>
  <r>
    <s v="6/20/2023"/>
    <d v="2023-06-20T00:00:00"/>
    <s v="Tuesday"/>
    <x v="5"/>
    <x v="0"/>
    <x v="4"/>
    <n v="1524.8751712616199"/>
    <n v="9"/>
    <n v="263.203555324143"/>
    <x v="3"/>
  </r>
  <r>
    <s v="6/21/2023"/>
    <d v="2023-06-21T00:00:00"/>
    <s v="Wednesday"/>
    <x v="5"/>
    <x v="0"/>
    <x v="0"/>
    <n v="1414.4362236714001"/>
    <n v="13"/>
    <n v="180.22385099980301"/>
    <x v="0"/>
  </r>
  <r>
    <s v="6/21/2023"/>
    <d v="2023-06-21T00:00:00"/>
    <s v="Wednesday"/>
    <x v="5"/>
    <x v="0"/>
    <x v="1"/>
    <n v="78.653919336300007"/>
    <n v="1"/>
    <n v="213.73768171743501"/>
    <x v="2"/>
  </r>
  <r>
    <s v="6/21/2023"/>
    <d v="2023-06-21T00:00:00"/>
    <s v="Wednesday"/>
    <x v="5"/>
    <x v="0"/>
    <x v="2"/>
    <n v="436.76713442916702"/>
    <n v="16"/>
    <n v="87.3143194299454"/>
    <x v="2"/>
  </r>
  <r>
    <s v="6/21/2023"/>
    <d v="2023-06-21T00:00:00"/>
    <s v="Wednesday"/>
    <x v="5"/>
    <x v="0"/>
    <x v="3"/>
    <n v="1149.9553398800001"/>
    <n v="13"/>
    <n v="386.403734862345"/>
    <x v="1"/>
  </r>
  <r>
    <s v="6/21/2023"/>
    <d v="2023-06-21T00:00:00"/>
    <s v="Wednesday"/>
    <x v="5"/>
    <x v="0"/>
    <x v="4"/>
    <n v="1141.6681275779999"/>
    <n v="10"/>
    <n v="290.06168432130801"/>
    <x v="1"/>
  </r>
  <r>
    <s v="6/22/2023"/>
    <d v="2023-06-22T00:00:00"/>
    <s v="Thursday"/>
    <x v="5"/>
    <x v="0"/>
    <x v="0"/>
    <n v="146.31611932000001"/>
    <n v="19"/>
    <n v="346.55870627556197"/>
    <x v="0"/>
  </r>
  <r>
    <s v="6/22/2023"/>
    <d v="2023-06-22T00:00:00"/>
    <s v="Thursday"/>
    <x v="5"/>
    <x v="0"/>
    <x v="1"/>
    <n v="1513.5811587451001"/>
    <n v="9"/>
    <n v="244.99614955670901"/>
    <x v="1"/>
  </r>
  <r>
    <s v="6/22/2023"/>
    <d v="2023-06-22T00:00:00"/>
    <s v="Thursday"/>
    <x v="5"/>
    <x v="0"/>
    <x v="2"/>
    <n v="484.66177125752102"/>
    <n v="1"/>
    <n v="178.64818356299301"/>
    <x v="0"/>
  </r>
  <r>
    <s v="6/22/2023"/>
    <d v="2023-06-22T00:00:00"/>
    <s v="Thursday"/>
    <x v="5"/>
    <x v="0"/>
    <x v="3"/>
    <n v="185.46593471200001"/>
    <n v="18"/>
    <n v="364.94933600957199"/>
    <x v="0"/>
  </r>
  <r>
    <s v="6/22/2023"/>
    <d v="2023-06-22T00:00:00"/>
    <s v="Thursday"/>
    <x v="5"/>
    <x v="0"/>
    <x v="4"/>
    <n v="1299.79891337192"/>
    <n v="6"/>
    <n v="296.71861600838702"/>
    <x v="3"/>
  </r>
  <r>
    <s v="6/23/2023"/>
    <d v="2023-06-23T00:00:00"/>
    <s v="Friday"/>
    <x v="5"/>
    <x v="0"/>
    <x v="0"/>
    <n v="928.87692734326004"/>
    <n v="18"/>
    <n v="273.82984319219997"/>
    <x v="0"/>
  </r>
  <r>
    <s v="6/23/2023"/>
    <d v="2023-06-23T00:00:00"/>
    <s v="Friday"/>
    <x v="5"/>
    <x v="0"/>
    <x v="1"/>
    <n v="881.69251175750003"/>
    <n v="11"/>
    <n v="246.39420558153799"/>
    <x v="0"/>
  </r>
  <r>
    <s v="6/23/2023"/>
    <d v="2023-06-23T00:00:00"/>
    <s v="Friday"/>
    <x v="5"/>
    <x v="0"/>
    <x v="2"/>
    <n v="1418.9885438521901"/>
    <n v="4"/>
    <n v="393.15886884797902"/>
    <x v="1"/>
  </r>
  <r>
    <s v="6/23/2023"/>
    <d v="2023-06-23T00:00:00"/>
    <s v="Friday"/>
    <x v="5"/>
    <x v="0"/>
    <x v="3"/>
    <n v="995.84867617172802"/>
    <n v="4"/>
    <n v="162.33210251907201"/>
    <x v="0"/>
  </r>
  <r>
    <s v="6/23/2023"/>
    <d v="2023-06-23T00:00:00"/>
    <s v="Friday"/>
    <x v="5"/>
    <x v="0"/>
    <x v="4"/>
    <n v="793.81667787469996"/>
    <n v="3"/>
    <n v="176.77894745395301"/>
    <x v="2"/>
  </r>
  <r>
    <s v="6/24/2023"/>
    <d v="2023-06-24T00:00:00"/>
    <s v="Saturday"/>
    <x v="5"/>
    <x v="0"/>
    <x v="0"/>
    <n v="1221.1873949641099"/>
    <n v="16"/>
    <n v="311.31402549979799"/>
    <x v="0"/>
  </r>
  <r>
    <s v="6/24/2023"/>
    <d v="2023-06-24T00:00:00"/>
    <s v="Saturday"/>
    <x v="5"/>
    <x v="0"/>
    <x v="1"/>
    <n v="952.41499688463"/>
    <n v="10"/>
    <n v="364.54578538308402"/>
    <x v="2"/>
  </r>
  <r>
    <s v="6/24/2023"/>
    <d v="2023-06-24T00:00:00"/>
    <s v="Saturday"/>
    <x v="5"/>
    <x v="0"/>
    <x v="2"/>
    <n v="14.71557716439"/>
    <n v="19"/>
    <n v="138.55000585660699"/>
    <x v="0"/>
  </r>
  <r>
    <s v="6/24/2023"/>
    <d v="2023-06-24T00:00:00"/>
    <s v="Saturday"/>
    <x v="5"/>
    <x v="0"/>
    <x v="3"/>
    <n v="149.473432796"/>
    <n v="1"/>
    <n v="202.48749359999999"/>
    <x v="3"/>
  </r>
  <r>
    <s v="6/24/2023"/>
    <d v="2023-06-24T00:00:00"/>
    <s v="Saturday"/>
    <x v="5"/>
    <x v="0"/>
    <x v="4"/>
    <n v="156.88459915134999"/>
    <n v="13"/>
    <n v="300.21859192117302"/>
    <x v="3"/>
  </r>
  <r>
    <s v="6/25/2023"/>
    <d v="2023-06-25T00:00:00"/>
    <s v="Sunday"/>
    <x v="5"/>
    <x v="0"/>
    <x v="0"/>
    <n v="44.313538250000001"/>
    <n v="5"/>
    <n v="80.060870863503894"/>
    <x v="2"/>
  </r>
  <r>
    <s v="6/25/2023"/>
    <d v="2023-06-25T00:00:00"/>
    <s v="Sunday"/>
    <x v="5"/>
    <x v="0"/>
    <x v="1"/>
    <n v="576.95769849999999"/>
    <n v="16"/>
    <n v="209.37554284112599"/>
    <x v="0"/>
  </r>
  <r>
    <s v="6/25/2023"/>
    <d v="2023-06-25T00:00:00"/>
    <s v="Sunday"/>
    <x v="5"/>
    <x v="0"/>
    <x v="2"/>
    <n v="765.8379753122"/>
    <n v="9"/>
    <n v="94.421873347235007"/>
    <x v="0"/>
  </r>
  <r>
    <s v="6/25/2023"/>
    <d v="2023-06-25T00:00:00"/>
    <s v="Sunday"/>
    <x v="5"/>
    <x v="0"/>
    <x v="3"/>
    <n v="579.79782664431002"/>
    <n v="5"/>
    <n v="175.72641382109401"/>
    <x v="0"/>
  </r>
  <r>
    <s v="6/25/2023"/>
    <d v="2023-06-25T00:00:00"/>
    <s v="Sunday"/>
    <x v="5"/>
    <x v="0"/>
    <x v="4"/>
    <n v="14.29961795324"/>
    <n v="12"/>
    <n v="359.16695309409499"/>
    <x v="1"/>
  </r>
  <r>
    <s v="6/26/2023"/>
    <d v="2023-06-26T00:00:00"/>
    <s v="Monday"/>
    <x v="5"/>
    <x v="0"/>
    <x v="0"/>
    <n v="936.15752155551797"/>
    <n v="9"/>
    <n v="138.65393649644199"/>
    <x v="0"/>
  </r>
  <r>
    <s v="6/26/2023"/>
    <d v="2023-06-26T00:00:00"/>
    <s v="Monday"/>
    <x v="5"/>
    <x v="0"/>
    <x v="1"/>
    <n v="988.78784264160004"/>
    <n v="13"/>
    <n v="313.02923710471299"/>
    <x v="3"/>
  </r>
  <r>
    <s v="6/26/2023"/>
    <d v="2023-06-26T00:00:00"/>
    <s v="Monday"/>
    <x v="5"/>
    <x v="0"/>
    <x v="2"/>
    <n v="874.78995591847399"/>
    <n v="17"/>
    <n v="281.84669043486002"/>
    <x v="0"/>
  </r>
  <r>
    <s v="6/26/2023"/>
    <d v="2023-06-26T00:00:00"/>
    <s v="Monday"/>
    <x v="5"/>
    <x v="0"/>
    <x v="3"/>
    <n v="911.47325699999999"/>
    <n v="2"/>
    <n v="236.58806703136"/>
    <x v="3"/>
  </r>
  <r>
    <s v="6/26/2023"/>
    <d v="2023-06-26T00:00:00"/>
    <s v="Monday"/>
    <x v="5"/>
    <x v="0"/>
    <x v="4"/>
    <n v="626.28478766839999"/>
    <n v="1"/>
    <n v="127.492159113518"/>
    <x v="2"/>
  </r>
  <r>
    <s v="6/27/2023"/>
    <d v="2023-06-27T00:00:00"/>
    <s v="Tuesday"/>
    <x v="5"/>
    <x v="0"/>
    <x v="0"/>
    <n v="116.4823329995"/>
    <n v="11"/>
    <n v="324.993288183066"/>
    <x v="1"/>
  </r>
  <r>
    <s v="6/27/2023"/>
    <d v="2023-06-27T00:00:00"/>
    <s v="Tuesday"/>
    <x v="5"/>
    <x v="0"/>
    <x v="1"/>
    <n v="787.12643575248001"/>
    <n v="19"/>
    <n v="131.220516572722"/>
    <x v="0"/>
  </r>
  <r>
    <s v="6/27/2023"/>
    <d v="2023-06-27T00:00:00"/>
    <s v="Tuesday"/>
    <x v="5"/>
    <x v="0"/>
    <x v="2"/>
    <n v="622.44852679739904"/>
    <n v="10"/>
    <n v="175.733281354756"/>
    <x v="2"/>
  </r>
  <r>
    <s v="6/27/2023"/>
    <d v="2023-06-27T00:00:00"/>
    <s v="Tuesday"/>
    <x v="5"/>
    <x v="0"/>
    <x v="3"/>
    <n v="847.48318862257895"/>
    <n v="19"/>
    <n v="170.091697970589"/>
    <x v="2"/>
  </r>
  <r>
    <s v="6/27/2023"/>
    <d v="2023-06-27T00:00:00"/>
    <s v="Tuesday"/>
    <x v="5"/>
    <x v="0"/>
    <x v="4"/>
    <n v="81.77738918947"/>
    <n v="8"/>
    <n v="317.40282343912099"/>
    <x v="0"/>
  </r>
  <r>
    <s v="6/28/2023"/>
    <d v="2023-06-28T00:00:00"/>
    <s v="Wednesday"/>
    <x v="5"/>
    <x v="0"/>
    <x v="0"/>
    <n v="524.25632861199995"/>
    <n v="19"/>
    <n v="159.19767820486001"/>
    <x v="3"/>
  </r>
  <r>
    <s v="6/28/2023"/>
    <d v="2023-06-28T00:00:00"/>
    <s v="Wednesday"/>
    <x v="5"/>
    <x v="0"/>
    <x v="1"/>
    <n v="436.22684458286"/>
    <n v="15"/>
    <n v="142.17757461316199"/>
    <x v="0"/>
  </r>
  <r>
    <s v="6/28/2023"/>
    <d v="2023-06-28T00:00:00"/>
    <s v="Wednesday"/>
    <x v="5"/>
    <x v="0"/>
    <x v="2"/>
    <n v="29.275678294936"/>
    <n v="1"/>
    <n v="60.569754737363503"/>
    <x v="3"/>
  </r>
  <r>
    <s v="6/28/2023"/>
    <d v="2023-06-28T00:00:00"/>
    <s v="Wednesday"/>
    <x v="5"/>
    <x v="0"/>
    <x v="3"/>
    <n v="11.1265197914"/>
    <n v="15"/>
    <n v="134.75471423542501"/>
    <x v="0"/>
  </r>
  <r>
    <s v="6/28/2023"/>
    <d v="2023-06-28T00:00:00"/>
    <s v="Wednesday"/>
    <x v="5"/>
    <x v="0"/>
    <x v="4"/>
    <n v="1227.29886188199"/>
    <n v="7"/>
    <n v="175.32282044188401"/>
    <x v="2"/>
  </r>
  <r>
    <s v="6/29/2023"/>
    <d v="2023-06-29T00:00:00"/>
    <s v="Thursday"/>
    <x v="5"/>
    <x v="0"/>
    <x v="0"/>
    <n v="997.74539718766005"/>
    <n v="17"/>
    <n v="161.510667843683"/>
    <x v="0"/>
  </r>
  <r>
    <s v="6/29/2023"/>
    <d v="2023-06-29T00:00:00"/>
    <s v="Thursday"/>
    <x v="5"/>
    <x v="0"/>
    <x v="1"/>
    <n v="1224.7269532759201"/>
    <n v="17"/>
    <n v="472.04970444555101"/>
    <x v="0"/>
  </r>
  <r>
    <s v="6/29/2023"/>
    <d v="2023-06-29T00:00:00"/>
    <s v="Thursday"/>
    <x v="5"/>
    <x v="0"/>
    <x v="2"/>
    <n v="1332.6365147426"/>
    <n v="17"/>
    <n v="377.670495148035"/>
    <x v="1"/>
  </r>
  <r>
    <s v="6/29/2023"/>
    <d v="2023-06-29T00:00:00"/>
    <s v="Thursday"/>
    <x v="5"/>
    <x v="0"/>
    <x v="3"/>
    <n v="986.28993679660005"/>
    <n v="15"/>
    <n v="360.67234982955301"/>
    <x v="1"/>
  </r>
  <r>
    <s v="6/29/2023"/>
    <d v="2023-06-29T00:00:00"/>
    <s v="Thursday"/>
    <x v="5"/>
    <x v="0"/>
    <x v="4"/>
    <n v="77.524153731609999"/>
    <n v="16"/>
    <n v="79.356842992657505"/>
    <x v="3"/>
  </r>
  <r>
    <s v="6/30/2023"/>
    <d v="2023-06-30T00:00:00"/>
    <s v="Friday"/>
    <x v="5"/>
    <x v="0"/>
    <x v="0"/>
    <n v="1315.3285362979"/>
    <n v="16"/>
    <n v="211.80859393671"/>
    <x v="3"/>
  </r>
  <r>
    <s v="6/30/2023"/>
    <d v="2023-06-30T00:00:00"/>
    <s v="Friday"/>
    <x v="5"/>
    <x v="0"/>
    <x v="1"/>
    <n v="1246.22779119439"/>
    <n v="19"/>
    <n v="231.36547204354801"/>
    <x v="1"/>
  </r>
  <r>
    <s v="6/30/2023"/>
    <d v="2023-06-30T00:00:00"/>
    <s v="Friday"/>
    <x v="5"/>
    <x v="0"/>
    <x v="2"/>
    <n v="64.225841623690002"/>
    <n v="2"/>
    <n v="133.75783523471799"/>
    <x v="1"/>
  </r>
  <r>
    <s v="6/30/2023"/>
    <d v="2023-06-30T00:00:00"/>
    <s v="Friday"/>
    <x v="5"/>
    <x v="0"/>
    <x v="3"/>
    <n v="939.15887813200004"/>
    <n v="3"/>
    <n v="97.676681577784393"/>
    <x v="2"/>
  </r>
  <r>
    <s v="6/30/2023"/>
    <d v="2023-06-30T00:00:00"/>
    <s v="Friday"/>
    <x v="5"/>
    <x v="0"/>
    <x v="4"/>
    <n v="1371.2314445239999"/>
    <n v="19"/>
    <n v="252.66939855237999"/>
    <x v="2"/>
  </r>
  <r>
    <s v="7/1/2023"/>
    <d v="2023-07-01T00:00:00"/>
    <s v="Saturday"/>
    <x v="6"/>
    <x v="0"/>
    <x v="0"/>
    <n v="862.89535000000001"/>
    <n v="8"/>
    <n v="313.37684299945602"/>
    <x v="3"/>
  </r>
  <r>
    <s v="7/1/2023"/>
    <d v="2023-07-01T00:00:00"/>
    <s v="Saturday"/>
    <x v="6"/>
    <x v="0"/>
    <x v="1"/>
    <n v="1171.5634198534999"/>
    <n v="15"/>
    <n v="140.55178206839199"/>
    <x v="0"/>
  </r>
  <r>
    <s v="7/1/2023"/>
    <d v="2023-07-01T00:00:00"/>
    <s v="Saturday"/>
    <x v="6"/>
    <x v="0"/>
    <x v="2"/>
    <n v="775.36492346795001"/>
    <n v="17"/>
    <n v="94.774115930316498"/>
    <x v="2"/>
  </r>
  <r>
    <s v="7/1/2023"/>
    <d v="2023-07-01T00:00:00"/>
    <s v="Saturday"/>
    <x v="6"/>
    <x v="0"/>
    <x v="3"/>
    <n v="187.79541622170001"/>
    <n v="10"/>
    <n v="213.587156872256"/>
    <x v="1"/>
  </r>
  <r>
    <s v="7/1/2023"/>
    <d v="2023-07-01T00:00:00"/>
    <s v="Saturday"/>
    <x v="6"/>
    <x v="0"/>
    <x v="4"/>
    <n v="12.3996988517"/>
    <n v="3"/>
    <n v="205.64834425174899"/>
    <x v="3"/>
  </r>
  <r>
    <s v="7/2/2023"/>
    <d v="2023-07-02T00:00:00"/>
    <s v="Sunday"/>
    <x v="6"/>
    <x v="0"/>
    <x v="0"/>
    <n v="1463.8275474100001"/>
    <n v="4"/>
    <n v="350.25217596642699"/>
    <x v="3"/>
  </r>
  <r>
    <s v="7/2/2023"/>
    <d v="2023-07-02T00:00:00"/>
    <s v="Sunday"/>
    <x v="6"/>
    <x v="0"/>
    <x v="1"/>
    <n v="1243.34297773297"/>
    <n v="11"/>
    <n v="369.29629569999997"/>
    <x v="1"/>
  </r>
  <r>
    <s v="7/2/2023"/>
    <d v="2023-07-02T00:00:00"/>
    <s v="Sunday"/>
    <x v="6"/>
    <x v="0"/>
    <x v="2"/>
    <n v="945.41824533422005"/>
    <n v="2"/>
    <n v="282.099980605692"/>
    <x v="0"/>
  </r>
  <r>
    <s v="7/2/2023"/>
    <d v="2023-07-02T00:00:00"/>
    <s v="Sunday"/>
    <x v="6"/>
    <x v="0"/>
    <x v="3"/>
    <n v="1195.3484381956901"/>
    <n v="9"/>
    <n v="121.44028027203299"/>
    <x v="3"/>
  </r>
  <r>
    <s v="7/2/2023"/>
    <d v="2023-07-02T00:00:00"/>
    <s v="Sunday"/>
    <x v="6"/>
    <x v="0"/>
    <x v="4"/>
    <n v="131.1816524466"/>
    <n v="9"/>
    <n v="283.69258722458602"/>
    <x v="0"/>
  </r>
  <r>
    <s v="7/3/2023"/>
    <d v="2023-07-03T00:00:00"/>
    <s v="Monday"/>
    <x v="6"/>
    <x v="0"/>
    <x v="0"/>
    <n v="826.28423561582304"/>
    <n v="16"/>
    <n v="268.97543025806903"/>
    <x v="1"/>
  </r>
  <r>
    <s v="7/3/2023"/>
    <d v="2023-07-03T00:00:00"/>
    <s v="Monday"/>
    <x v="6"/>
    <x v="0"/>
    <x v="1"/>
    <n v="1337.88896779724"/>
    <n v="3"/>
    <n v="403.16915056653102"/>
    <x v="3"/>
  </r>
  <r>
    <s v="7/3/2023"/>
    <d v="2023-07-03T00:00:00"/>
    <s v="Monday"/>
    <x v="6"/>
    <x v="0"/>
    <x v="2"/>
    <n v="1231.97629639511"/>
    <n v="12"/>
    <n v="397.52912939999999"/>
    <x v="1"/>
  </r>
  <r>
    <s v="7/3/2023"/>
    <d v="2023-07-03T00:00:00"/>
    <s v="Monday"/>
    <x v="6"/>
    <x v="0"/>
    <x v="3"/>
    <n v="63.559375421737002"/>
    <n v="6"/>
    <n v="204.92759720000001"/>
    <x v="0"/>
  </r>
  <r>
    <s v="7/3/2023"/>
    <d v="2023-07-03T00:00:00"/>
    <s v="Monday"/>
    <x v="6"/>
    <x v="0"/>
    <x v="4"/>
    <n v="1392.2452568629999"/>
    <n v="16"/>
    <n v="456.11986780000001"/>
    <x v="1"/>
  </r>
  <r>
    <s v="7/4/2023"/>
    <d v="2023-07-04T00:00:00"/>
    <s v="Tuesday"/>
    <x v="6"/>
    <x v="0"/>
    <x v="0"/>
    <n v="144.77192622300001"/>
    <n v="10"/>
    <n v="394.23798813274601"/>
    <x v="2"/>
  </r>
  <r>
    <s v="7/4/2023"/>
    <d v="2023-07-04T00:00:00"/>
    <s v="Tuesday"/>
    <x v="6"/>
    <x v="0"/>
    <x v="1"/>
    <n v="892.61685579649998"/>
    <n v="10"/>
    <n v="171.44612705688101"/>
    <x v="0"/>
  </r>
  <r>
    <s v="7/4/2023"/>
    <d v="2023-07-04T00:00:00"/>
    <s v="Tuesday"/>
    <x v="6"/>
    <x v="0"/>
    <x v="2"/>
    <n v="73.657957238600005"/>
    <n v="8"/>
    <n v="194.595669345998"/>
    <x v="0"/>
  </r>
  <r>
    <s v="7/4/2023"/>
    <d v="2023-07-04T00:00:00"/>
    <s v="Tuesday"/>
    <x v="6"/>
    <x v="0"/>
    <x v="3"/>
    <n v="1279.9697344946901"/>
    <n v="8"/>
    <n v="358.30371270000001"/>
    <x v="2"/>
  </r>
  <r>
    <s v="7/4/2023"/>
    <d v="2023-07-04T00:00:00"/>
    <s v="Tuesday"/>
    <x v="6"/>
    <x v="0"/>
    <x v="4"/>
    <n v="1255.194333467"/>
    <n v="12"/>
    <n v="406.33904729496999"/>
    <x v="3"/>
  </r>
  <r>
    <s v="7/5/2023"/>
    <d v="2023-07-05T00:00:00"/>
    <s v="Wednesday"/>
    <x v="6"/>
    <x v="0"/>
    <x v="0"/>
    <n v="952.97737726531705"/>
    <n v="17"/>
    <n v="262.45037666761601"/>
    <x v="2"/>
  </r>
  <r>
    <s v="7/5/2023"/>
    <d v="2023-07-05T00:00:00"/>
    <s v="Wednesday"/>
    <x v="6"/>
    <x v="0"/>
    <x v="1"/>
    <n v="1346.765525"/>
    <n v="18"/>
    <n v="521.938104859242"/>
    <x v="0"/>
  </r>
  <r>
    <s v="7/5/2023"/>
    <d v="2023-07-05T00:00:00"/>
    <s v="Wednesday"/>
    <x v="6"/>
    <x v="0"/>
    <x v="2"/>
    <n v="873.71833429231401"/>
    <n v="6"/>
    <n v="227.14529073038599"/>
    <x v="1"/>
  </r>
  <r>
    <s v="7/5/2023"/>
    <d v="2023-07-05T00:00:00"/>
    <s v="Wednesday"/>
    <x v="6"/>
    <x v="0"/>
    <x v="3"/>
    <n v="151.55181938499999"/>
    <n v="1"/>
    <n v="271.94951488329002"/>
    <x v="3"/>
  </r>
  <r>
    <s v="7/5/2023"/>
    <d v="2023-07-05T00:00:00"/>
    <s v="Wednesday"/>
    <x v="6"/>
    <x v="0"/>
    <x v="4"/>
    <n v="1165.9753659954299"/>
    <n v="14"/>
    <n v="193.10264167379501"/>
    <x v="3"/>
  </r>
  <r>
    <s v="7/6/2023"/>
    <d v="2023-07-06T00:00:00"/>
    <s v="Thursday"/>
    <x v="6"/>
    <x v="0"/>
    <x v="0"/>
    <n v="1184.2769417754"/>
    <n v="6"/>
    <n v="397.90859045952698"/>
    <x v="2"/>
  </r>
  <r>
    <s v="7/6/2023"/>
    <d v="2023-07-06T00:00:00"/>
    <s v="Thursday"/>
    <x v="6"/>
    <x v="0"/>
    <x v="1"/>
    <n v="1158.5178435631001"/>
    <n v="5"/>
    <n v="375.76708412375899"/>
    <x v="0"/>
  </r>
  <r>
    <s v="7/6/2023"/>
    <d v="2023-07-06T00:00:00"/>
    <s v="Thursday"/>
    <x v="6"/>
    <x v="0"/>
    <x v="2"/>
    <n v="861.97712375995002"/>
    <n v="6"/>
    <n v="193.57617807592899"/>
    <x v="3"/>
  </r>
  <r>
    <s v="7/6/2023"/>
    <d v="2023-07-06T00:00:00"/>
    <s v="Thursday"/>
    <x v="6"/>
    <x v="0"/>
    <x v="3"/>
    <n v="98.837147238"/>
    <n v="3"/>
    <n v="340.38118017403201"/>
    <x v="3"/>
  </r>
  <r>
    <s v="7/6/2023"/>
    <d v="2023-07-06T00:00:00"/>
    <s v="Thursday"/>
    <x v="6"/>
    <x v="0"/>
    <x v="4"/>
    <n v="128.6325983239"/>
    <n v="6"/>
    <n v="235.236915776394"/>
    <x v="2"/>
  </r>
  <r>
    <s v="7/7/2023"/>
    <d v="2023-07-07T00:00:00"/>
    <s v="Friday"/>
    <x v="6"/>
    <x v="0"/>
    <x v="0"/>
    <n v="92.965535175325002"/>
    <n v="8"/>
    <n v="295.508981560363"/>
    <x v="1"/>
  </r>
  <r>
    <s v="7/7/2023"/>
    <d v="2023-07-07T00:00:00"/>
    <s v="Friday"/>
    <x v="6"/>
    <x v="0"/>
    <x v="1"/>
    <n v="859.25529100000006"/>
    <n v="6"/>
    <n v="110.39315092645199"/>
    <x v="3"/>
  </r>
  <r>
    <s v="7/7/2023"/>
    <d v="2023-07-07T00:00:00"/>
    <s v="Friday"/>
    <x v="6"/>
    <x v="0"/>
    <x v="2"/>
    <n v="1193.3884738953"/>
    <n v="12"/>
    <n v="236.28110200553999"/>
    <x v="1"/>
  </r>
  <r>
    <s v="7/7/2023"/>
    <d v="2023-07-07T00:00:00"/>
    <s v="Friday"/>
    <x v="6"/>
    <x v="0"/>
    <x v="3"/>
    <n v="118.739829"/>
    <n v="3"/>
    <n v="471.45582236836901"/>
    <x v="1"/>
  </r>
  <r>
    <s v="7/7/2023"/>
    <d v="2023-07-07T00:00:00"/>
    <s v="Friday"/>
    <x v="6"/>
    <x v="0"/>
    <x v="4"/>
    <n v="1312.5556431243999"/>
    <n v="15"/>
    <n v="250.97255924712201"/>
    <x v="0"/>
  </r>
  <r>
    <s v="7/8/2023"/>
    <d v="2023-07-08T00:00:00"/>
    <s v="Saturday"/>
    <x v="6"/>
    <x v="0"/>
    <x v="0"/>
    <n v="1364.4391176831"/>
    <n v="11"/>
    <n v="142.05116311434799"/>
    <x v="3"/>
  </r>
  <r>
    <s v="7/8/2023"/>
    <d v="2023-07-08T00:00:00"/>
    <s v="Saturday"/>
    <x v="6"/>
    <x v="0"/>
    <x v="1"/>
    <n v="82.729492699100007"/>
    <n v="16"/>
    <n v="158.94156318602401"/>
    <x v="2"/>
  </r>
  <r>
    <s v="7/8/2023"/>
    <d v="2023-07-08T00:00:00"/>
    <s v="Saturday"/>
    <x v="6"/>
    <x v="0"/>
    <x v="2"/>
    <n v="14.479743533000001"/>
    <n v="15"/>
    <n v="355.00638914160299"/>
    <x v="2"/>
  </r>
  <r>
    <s v="7/8/2023"/>
    <d v="2023-07-08T00:00:00"/>
    <s v="Saturday"/>
    <x v="6"/>
    <x v="0"/>
    <x v="3"/>
    <n v="1188.9249635195999"/>
    <n v="3"/>
    <n v="453.603554206811"/>
    <x v="0"/>
  </r>
  <r>
    <s v="7/8/2023"/>
    <d v="2023-07-08T00:00:00"/>
    <s v="Saturday"/>
    <x v="6"/>
    <x v="0"/>
    <x v="4"/>
    <n v="174.79257869251001"/>
    <n v="4"/>
    <n v="426.911639633145"/>
    <x v="1"/>
  </r>
  <r>
    <s v="7/9/2023"/>
    <d v="2023-07-09T00:00:00"/>
    <s v="Sunday"/>
    <x v="6"/>
    <x v="0"/>
    <x v="0"/>
    <n v="1313.5265422254199"/>
    <n v="19"/>
    <n v="305.64205009912899"/>
    <x v="2"/>
  </r>
  <r>
    <s v="7/9/2023"/>
    <d v="2023-07-09T00:00:00"/>
    <s v="Sunday"/>
    <x v="6"/>
    <x v="0"/>
    <x v="1"/>
    <n v="17.12415292687"/>
    <n v="16"/>
    <n v="298.62409804588498"/>
    <x v="3"/>
  </r>
  <r>
    <s v="7/9/2023"/>
    <d v="2023-07-09T00:00:00"/>
    <s v="Sunday"/>
    <x v="6"/>
    <x v="0"/>
    <x v="2"/>
    <n v="678.47525117746"/>
    <n v="11"/>
    <n v="256.94132519060798"/>
    <x v="1"/>
  </r>
  <r>
    <s v="7/9/2023"/>
    <d v="2023-07-09T00:00:00"/>
    <s v="Sunday"/>
    <x v="6"/>
    <x v="0"/>
    <x v="3"/>
    <n v="1455.843691259"/>
    <n v="5"/>
    <n v="580.12648391687901"/>
    <x v="3"/>
  </r>
  <r>
    <s v="7/9/2023"/>
    <d v="2023-07-09T00:00:00"/>
    <s v="Sunday"/>
    <x v="6"/>
    <x v="0"/>
    <x v="4"/>
    <n v="145.34773978359999"/>
    <n v="18"/>
    <n v="414.368491992114"/>
    <x v="0"/>
  </r>
  <r>
    <s v="7/10/2023"/>
    <d v="2023-07-10T00:00:00"/>
    <s v="Monday"/>
    <x v="6"/>
    <x v="0"/>
    <x v="0"/>
    <n v="121.55478564761999"/>
    <n v="14"/>
    <n v="140.42968048265001"/>
    <x v="1"/>
  </r>
  <r>
    <s v="7/10/2023"/>
    <d v="2023-07-10T00:00:00"/>
    <s v="Monday"/>
    <x v="6"/>
    <x v="0"/>
    <x v="1"/>
    <n v="981.41417620000004"/>
    <n v="18"/>
    <n v="204.84998898808399"/>
    <x v="2"/>
  </r>
  <r>
    <s v="7/10/2023"/>
    <d v="2023-07-10T00:00:00"/>
    <s v="Monday"/>
    <x v="6"/>
    <x v="0"/>
    <x v="2"/>
    <n v="1167.4875242672999"/>
    <n v="12"/>
    <n v="291.99777029602302"/>
    <x v="0"/>
  </r>
  <r>
    <s v="7/10/2023"/>
    <d v="2023-07-10T00:00:00"/>
    <s v="Monday"/>
    <x v="6"/>
    <x v="0"/>
    <x v="3"/>
    <n v="951.88869982526501"/>
    <n v="9"/>
    <n v="115.121606292948"/>
    <x v="2"/>
  </r>
  <r>
    <s v="7/10/2023"/>
    <d v="2023-07-10T00:00:00"/>
    <s v="Monday"/>
    <x v="6"/>
    <x v="0"/>
    <x v="4"/>
    <n v="1121.23496527"/>
    <n v="4"/>
    <n v="251.321841972697"/>
    <x v="3"/>
  </r>
  <r>
    <s v="7/11/2023"/>
    <d v="2023-07-11T00:00:00"/>
    <s v="Tuesday"/>
    <x v="6"/>
    <x v="0"/>
    <x v="0"/>
    <n v="693.47766899999999"/>
    <n v="12"/>
    <n v="78.148916178761894"/>
    <x v="2"/>
  </r>
  <r>
    <s v="7/11/2023"/>
    <d v="2023-07-11T00:00:00"/>
    <s v="Tuesday"/>
    <x v="6"/>
    <x v="0"/>
    <x v="1"/>
    <n v="1285.77951839467"/>
    <n v="14"/>
    <n v="151.95531655567601"/>
    <x v="2"/>
  </r>
  <r>
    <s v="7/11/2023"/>
    <d v="2023-07-11T00:00:00"/>
    <s v="Tuesday"/>
    <x v="6"/>
    <x v="0"/>
    <x v="2"/>
    <n v="1142.1794119660001"/>
    <n v="16"/>
    <n v="122.76503026413999"/>
    <x v="1"/>
  </r>
  <r>
    <s v="7/11/2023"/>
    <d v="2023-07-11T00:00:00"/>
    <s v="Tuesday"/>
    <x v="6"/>
    <x v="0"/>
    <x v="3"/>
    <n v="1253.9554275181999"/>
    <n v="6"/>
    <n v="327.00715302902199"/>
    <x v="3"/>
  </r>
  <r>
    <s v="7/11/2023"/>
    <d v="2023-07-11T00:00:00"/>
    <s v="Tuesday"/>
    <x v="6"/>
    <x v="0"/>
    <x v="4"/>
    <n v="1149.9299315487999"/>
    <n v="13"/>
    <n v="168.01317226813001"/>
    <x v="0"/>
  </r>
  <r>
    <s v="7/12/2023"/>
    <d v="2023-07-12T00:00:00"/>
    <s v="Wednesday"/>
    <x v="6"/>
    <x v="0"/>
    <x v="0"/>
    <n v="1133.3858117242"/>
    <n v="11"/>
    <n v="314.91357593374198"/>
    <x v="3"/>
  </r>
  <r>
    <s v="7/12/2023"/>
    <d v="2023-07-12T00:00:00"/>
    <s v="Wednesday"/>
    <x v="6"/>
    <x v="0"/>
    <x v="1"/>
    <n v="1312.272859183"/>
    <n v="11"/>
    <n v="151.69454433559099"/>
    <x v="3"/>
  </r>
  <r>
    <s v="7/12/2023"/>
    <d v="2023-07-12T00:00:00"/>
    <s v="Wednesday"/>
    <x v="6"/>
    <x v="0"/>
    <x v="2"/>
    <n v="161.99393142950001"/>
    <n v="16"/>
    <n v="326.24871079904"/>
    <x v="1"/>
  </r>
  <r>
    <s v="7/12/2023"/>
    <d v="2023-07-12T00:00:00"/>
    <s v="Wednesday"/>
    <x v="6"/>
    <x v="0"/>
    <x v="3"/>
    <n v="1221.5472497819001"/>
    <n v="7"/>
    <n v="305.96425001584998"/>
    <x v="1"/>
  </r>
  <r>
    <s v="7/12/2023"/>
    <d v="2023-07-12T00:00:00"/>
    <s v="Wednesday"/>
    <x v="6"/>
    <x v="0"/>
    <x v="4"/>
    <n v="95.592615294309994"/>
    <n v="9"/>
    <n v="379.23645697841602"/>
    <x v="3"/>
  </r>
  <r>
    <s v="7/13/2023"/>
    <d v="2023-07-13T00:00:00"/>
    <s v="Thursday"/>
    <x v="6"/>
    <x v="0"/>
    <x v="0"/>
    <n v="163.5636359554"/>
    <n v="5"/>
    <n v="392.67806254882697"/>
    <x v="1"/>
  </r>
  <r>
    <s v="7/13/2023"/>
    <d v="2023-07-13T00:00:00"/>
    <s v="Thursday"/>
    <x v="6"/>
    <x v="0"/>
    <x v="1"/>
    <n v="1487.6295577476301"/>
    <n v="15"/>
    <n v="526.94275549373594"/>
    <x v="2"/>
  </r>
  <r>
    <s v="7/13/2023"/>
    <d v="2023-07-13T00:00:00"/>
    <s v="Thursday"/>
    <x v="6"/>
    <x v="0"/>
    <x v="2"/>
    <n v="1422.2579372615101"/>
    <n v="14"/>
    <n v="285.281780777557"/>
    <x v="1"/>
  </r>
  <r>
    <s v="7/13/2023"/>
    <d v="2023-07-13T00:00:00"/>
    <s v="Thursday"/>
    <x v="6"/>
    <x v="0"/>
    <x v="3"/>
    <n v="395.43823493374998"/>
    <n v="17"/>
    <n v="140.682766544462"/>
    <x v="2"/>
  </r>
  <r>
    <s v="7/13/2023"/>
    <d v="2023-07-13T00:00:00"/>
    <s v="Thursday"/>
    <x v="6"/>
    <x v="0"/>
    <x v="4"/>
    <n v="624.57583825473102"/>
    <n v="19"/>
    <n v="165.86432135363799"/>
    <x v="2"/>
  </r>
  <r>
    <s v="7/14/2023"/>
    <d v="2023-07-14T00:00:00"/>
    <s v="Friday"/>
    <x v="6"/>
    <x v="0"/>
    <x v="0"/>
    <n v="946.96775165265001"/>
    <n v="6"/>
    <n v="362.418797129822"/>
    <x v="3"/>
  </r>
  <r>
    <s v="7/14/2023"/>
    <d v="2023-07-14T00:00:00"/>
    <s v="Friday"/>
    <x v="6"/>
    <x v="0"/>
    <x v="1"/>
    <n v="535.41451300000006"/>
    <n v="15"/>
    <n v="77.197493159999993"/>
    <x v="1"/>
  </r>
  <r>
    <s v="7/14/2023"/>
    <d v="2023-07-14T00:00:00"/>
    <s v="Friday"/>
    <x v="6"/>
    <x v="0"/>
    <x v="2"/>
    <n v="876.58359917519999"/>
    <n v="8"/>
    <n v="145.43567969264501"/>
    <x v="3"/>
  </r>
  <r>
    <s v="7/14/2023"/>
    <d v="2023-07-14T00:00:00"/>
    <s v="Friday"/>
    <x v="6"/>
    <x v="0"/>
    <x v="3"/>
    <n v="854.78519838939997"/>
    <n v="10"/>
    <n v="151.24475258455101"/>
    <x v="0"/>
  </r>
  <r>
    <s v="7/14/2023"/>
    <d v="2023-07-14T00:00:00"/>
    <s v="Friday"/>
    <x v="6"/>
    <x v="0"/>
    <x v="4"/>
    <n v="593.71598366935496"/>
    <n v="4"/>
    <n v="96.865998792725904"/>
    <x v="2"/>
  </r>
  <r>
    <s v="7/15/2023"/>
    <d v="2023-07-15T00:00:00"/>
    <s v="Saturday"/>
    <x v="6"/>
    <x v="0"/>
    <x v="0"/>
    <n v="699.66395188599995"/>
    <n v="4"/>
    <n v="100.719093366938"/>
    <x v="3"/>
  </r>
  <r>
    <s v="7/15/2023"/>
    <d v="2023-07-15T00:00:00"/>
    <s v="Saturday"/>
    <x v="6"/>
    <x v="0"/>
    <x v="1"/>
    <n v="853.34547177168997"/>
    <n v="11"/>
    <n v="229.569025928862"/>
    <x v="3"/>
  </r>
  <r>
    <s v="7/15/2023"/>
    <d v="2023-07-15T00:00:00"/>
    <s v="Saturday"/>
    <x v="6"/>
    <x v="0"/>
    <x v="2"/>
    <n v="916.47135200000002"/>
    <n v="5"/>
    <n v="223.20523362936501"/>
    <x v="2"/>
  </r>
  <r>
    <s v="7/15/2023"/>
    <d v="2023-07-15T00:00:00"/>
    <s v="Saturday"/>
    <x v="6"/>
    <x v="0"/>
    <x v="3"/>
    <n v="65.298522913400006"/>
    <n v="3"/>
    <n v="65.642610260451093"/>
    <x v="3"/>
  </r>
  <r>
    <s v="7/15/2023"/>
    <d v="2023-07-15T00:00:00"/>
    <s v="Saturday"/>
    <x v="6"/>
    <x v="0"/>
    <x v="4"/>
    <n v="15.4124945922"/>
    <n v="17"/>
    <n v="233.78248209920699"/>
    <x v="1"/>
  </r>
  <r>
    <s v="7/16/2023"/>
    <d v="2023-07-16T00:00:00"/>
    <s v="Sunday"/>
    <x v="6"/>
    <x v="0"/>
    <x v="0"/>
    <n v="1274.617826684"/>
    <n v="10"/>
    <n v="235.26335667154299"/>
    <x v="2"/>
  </r>
  <r>
    <s v="7/16/2023"/>
    <d v="2023-07-16T00:00:00"/>
    <s v="Sunday"/>
    <x v="6"/>
    <x v="0"/>
    <x v="1"/>
    <n v="835.13791762133906"/>
    <n v="9"/>
    <n v="131.298542996013"/>
    <x v="0"/>
  </r>
  <r>
    <s v="7/16/2023"/>
    <d v="2023-07-16T00:00:00"/>
    <s v="Sunday"/>
    <x v="6"/>
    <x v="0"/>
    <x v="2"/>
    <n v="1549.7671134376001"/>
    <n v="8"/>
    <n v="463.78410270817"/>
    <x v="2"/>
  </r>
  <r>
    <s v="7/16/2023"/>
    <d v="2023-07-16T00:00:00"/>
    <s v="Sunday"/>
    <x v="6"/>
    <x v="0"/>
    <x v="3"/>
    <n v="1244.245529"/>
    <n v="15"/>
    <n v="141.20747466193501"/>
    <x v="1"/>
  </r>
  <r>
    <s v="7/16/2023"/>
    <d v="2023-07-16T00:00:00"/>
    <s v="Sunday"/>
    <x v="6"/>
    <x v="0"/>
    <x v="4"/>
    <n v="916.33498180000004"/>
    <n v="18"/>
    <n v="221.075167257582"/>
    <x v="0"/>
  </r>
  <r>
    <s v="7/17/2023"/>
    <d v="2023-07-17T00:00:00"/>
    <s v="Monday"/>
    <x v="6"/>
    <x v="0"/>
    <x v="0"/>
    <n v="1253.5473913552901"/>
    <n v="12"/>
    <n v="307.06177236342398"/>
    <x v="1"/>
  </r>
  <r>
    <s v="7/17/2023"/>
    <d v="2023-07-17T00:00:00"/>
    <s v="Monday"/>
    <x v="6"/>
    <x v="0"/>
    <x v="1"/>
    <n v="759.56238781809998"/>
    <n v="16"/>
    <n v="168.65430902834399"/>
    <x v="1"/>
  </r>
  <r>
    <s v="7/17/2023"/>
    <d v="2023-07-17T00:00:00"/>
    <s v="Monday"/>
    <x v="6"/>
    <x v="0"/>
    <x v="2"/>
    <n v="199.24327757792"/>
    <n v="7"/>
    <n v="259.63793515013299"/>
    <x v="0"/>
  </r>
  <r>
    <s v="7/17/2023"/>
    <d v="2023-07-17T00:00:00"/>
    <s v="Monday"/>
    <x v="6"/>
    <x v="0"/>
    <x v="3"/>
    <n v="1277.6194272391001"/>
    <n v="13"/>
    <n v="492.43726068786299"/>
    <x v="0"/>
  </r>
  <r>
    <s v="7/17/2023"/>
    <d v="2023-07-17T00:00:00"/>
    <s v="Monday"/>
    <x v="6"/>
    <x v="0"/>
    <x v="4"/>
    <n v="19.534474484699999"/>
    <n v="6"/>
    <n v="272.89553622484601"/>
    <x v="0"/>
  </r>
  <r>
    <s v="7/18/2023"/>
    <d v="2023-07-18T00:00:00"/>
    <s v="Tuesday"/>
    <x v="6"/>
    <x v="0"/>
    <x v="0"/>
    <n v="1329.2874894583399"/>
    <n v="4"/>
    <n v="519.84526049413705"/>
    <x v="3"/>
  </r>
  <r>
    <s v="7/18/2023"/>
    <d v="2023-07-18T00:00:00"/>
    <s v="Tuesday"/>
    <x v="6"/>
    <x v="0"/>
    <x v="1"/>
    <n v="111.4917625672"/>
    <n v="13"/>
    <n v="301.92999750000001"/>
    <x v="2"/>
  </r>
  <r>
    <s v="7/18/2023"/>
    <d v="2023-07-18T00:00:00"/>
    <s v="Tuesday"/>
    <x v="6"/>
    <x v="0"/>
    <x v="2"/>
    <n v="169.77847246834"/>
    <n v="3"/>
    <n v="165.656623504104"/>
    <x v="2"/>
  </r>
  <r>
    <s v="7/18/2023"/>
    <d v="2023-07-18T00:00:00"/>
    <s v="Tuesday"/>
    <x v="6"/>
    <x v="0"/>
    <x v="3"/>
    <n v="934.74851247181005"/>
    <n v="16"/>
    <n v="173.46916125363001"/>
    <x v="0"/>
  </r>
  <r>
    <s v="7/18/2023"/>
    <d v="2023-07-18T00:00:00"/>
    <s v="Tuesday"/>
    <x v="6"/>
    <x v="0"/>
    <x v="4"/>
    <n v="1468.28493972972"/>
    <n v="6"/>
    <n v="311.81155745990998"/>
    <x v="1"/>
  </r>
  <r>
    <s v="7/19/2023"/>
    <d v="2023-07-19T00:00:00"/>
    <s v="Wednesday"/>
    <x v="6"/>
    <x v="0"/>
    <x v="0"/>
    <n v="161.59814976999999"/>
    <n v="10"/>
    <n v="338.55689288704502"/>
    <x v="1"/>
  </r>
  <r>
    <s v="7/19/2023"/>
    <d v="2023-07-19T00:00:00"/>
    <s v="Wednesday"/>
    <x v="6"/>
    <x v="0"/>
    <x v="1"/>
    <n v="1371.4713821939199"/>
    <n v="5"/>
    <n v="209.20005069999999"/>
    <x v="0"/>
  </r>
  <r>
    <s v="7/19/2023"/>
    <d v="2023-07-19T00:00:00"/>
    <s v="Wednesday"/>
    <x v="6"/>
    <x v="0"/>
    <x v="2"/>
    <n v="736.92221646834003"/>
    <n v="9"/>
    <n v="129.54284854120701"/>
    <x v="0"/>
  </r>
  <r>
    <s v="7/19/2023"/>
    <d v="2023-07-19T00:00:00"/>
    <s v="Wednesday"/>
    <x v="6"/>
    <x v="0"/>
    <x v="3"/>
    <n v="891.85626381420002"/>
    <n v="4"/>
    <n v="89.3553719051597"/>
    <x v="1"/>
  </r>
  <r>
    <s v="7/19/2023"/>
    <d v="2023-07-19T00:00:00"/>
    <s v="Wednesday"/>
    <x v="6"/>
    <x v="0"/>
    <x v="4"/>
    <n v="1161.67575554312"/>
    <n v="10"/>
    <n v="392.389029096596"/>
    <x v="3"/>
  </r>
  <r>
    <s v="7/20/2023"/>
    <d v="2023-07-20T00:00:00"/>
    <s v="Thursday"/>
    <x v="6"/>
    <x v="0"/>
    <x v="0"/>
    <n v="64.234258667099994"/>
    <n v="4"/>
    <n v="143.496548388126"/>
    <x v="1"/>
  </r>
  <r>
    <s v="7/20/2023"/>
    <d v="2023-07-20T00:00:00"/>
    <s v="Thursday"/>
    <x v="6"/>
    <x v="0"/>
    <x v="1"/>
    <n v="817.61546581444395"/>
    <n v="13"/>
    <n v="104.763488040871"/>
    <x v="2"/>
  </r>
  <r>
    <s v="7/20/2023"/>
    <d v="2023-07-20T00:00:00"/>
    <s v="Thursday"/>
    <x v="6"/>
    <x v="0"/>
    <x v="2"/>
    <n v="142.6276736861"/>
    <n v="15"/>
    <n v="388.41046842523099"/>
    <x v="1"/>
  </r>
  <r>
    <s v="7/20/2023"/>
    <d v="2023-07-20T00:00:00"/>
    <s v="Thursday"/>
    <x v="6"/>
    <x v="0"/>
    <x v="3"/>
    <n v="1172.413784996"/>
    <n v="5"/>
    <n v="281.24931921563501"/>
    <x v="0"/>
  </r>
  <r>
    <s v="7/20/2023"/>
    <d v="2023-07-20T00:00:00"/>
    <s v="Thursday"/>
    <x v="6"/>
    <x v="0"/>
    <x v="4"/>
    <n v="1259.3589725622301"/>
    <n v="18"/>
    <n v="319.72183638676802"/>
    <x v="2"/>
  </r>
  <r>
    <s v="7/21/2023"/>
    <d v="2023-07-21T00:00:00"/>
    <s v="Friday"/>
    <x v="6"/>
    <x v="0"/>
    <x v="0"/>
    <n v="1455.6659744357901"/>
    <n v="7"/>
    <n v="553.95605350000005"/>
    <x v="2"/>
  </r>
  <r>
    <s v="7/21/2023"/>
    <d v="2023-07-21T00:00:00"/>
    <s v="Friday"/>
    <x v="6"/>
    <x v="0"/>
    <x v="1"/>
    <n v="1351.4986935341601"/>
    <n v="13"/>
    <n v="408.58494385736401"/>
    <x v="2"/>
  </r>
  <r>
    <s v="7/21/2023"/>
    <d v="2023-07-21T00:00:00"/>
    <s v="Friday"/>
    <x v="6"/>
    <x v="0"/>
    <x v="2"/>
    <n v="89.399214962580004"/>
    <n v="16"/>
    <n v="179.97057601965199"/>
    <x v="3"/>
  </r>
  <r>
    <s v="7/21/2023"/>
    <d v="2023-07-21T00:00:00"/>
    <s v="Friday"/>
    <x v="6"/>
    <x v="0"/>
    <x v="3"/>
    <n v="121.39751373199999"/>
    <n v="10"/>
    <n v="401.93164191646002"/>
    <x v="0"/>
  </r>
  <r>
    <s v="7/21/2023"/>
    <d v="2023-07-21T00:00:00"/>
    <s v="Friday"/>
    <x v="6"/>
    <x v="0"/>
    <x v="4"/>
    <n v="661.87764445912001"/>
    <n v="1"/>
    <n v="235.55623003700799"/>
    <x v="0"/>
  </r>
  <r>
    <s v="7/22/2023"/>
    <d v="2023-07-22T00:00:00"/>
    <s v="Saturday"/>
    <x v="6"/>
    <x v="0"/>
    <x v="0"/>
    <n v="913.76574417989298"/>
    <n v="3"/>
    <n v="297.99748655150501"/>
    <x v="3"/>
  </r>
  <r>
    <s v="7/22/2023"/>
    <d v="2023-07-22T00:00:00"/>
    <s v="Saturday"/>
    <x v="6"/>
    <x v="0"/>
    <x v="1"/>
    <n v="186.19867132900001"/>
    <n v="9"/>
    <n v="218.11099344094001"/>
    <x v="3"/>
  </r>
  <r>
    <s v="7/22/2023"/>
    <d v="2023-07-22T00:00:00"/>
    <s v="Saturday"/>
    <x v="6"/>
    <x v="0"/>
    <x v="2"/>
    <n v="829.51215283720001"/>
    <n v="8"/>
    <n v="152.80631101225001"/>
    <x v="2"/>
  </r>
  <r>
    <s v="7/22/2023"/>
    <d v="2023-07-22T00:00:00"/>
    <s v="Saturday"/>
    <x v="6"/>
    <x v="0"/>
    <x v="3"/>
    <n v="198.852626719"/>
    <n v="12"/>
    <n v="235.07254891640099"/>
    <x v="3"/>
  </r>
  <r>
    <s v="7/22/2023"/>
    <d v="2023-07-22T00:00:00"/>
    <s v="Saturday"/>
    <x v="6"/>
    <x v="0"/>
    <x v="4"/>
    <n v="1573.7228229753"/>
    <n v="1"/>
    <n v="269.23249657618902"/>
    <x v="0"/>
  </r>
  <r>
    <s v="7/23/2023"/>
    <d v="2023-07-23T00:00:00"/>
    <s v="Sunday"/>
    <x v="6"/>
    <x v="0"/>
    <x v="0"/>
    <n v="1259.2462644126001"/>
    <n v="8"/>
    <n v="476.93123057487497"/>
    <x v="2"/>
  </r>
  <r>
    <s v="7/23/2023"/>
    <d v="2023-07-23T00:00:00"/>
    <s v="Sunday"/>
    <x v="6"/>
    <x v="0"/>
    <x v="1"/>
    <n v="569.66397400000005"/>
    <n v="13"/>
    <n v="198.27461268689399"/>
    <x v="2"/>
  </r>
  <r>
    <s v="7/23/2023"/>
    <d v="2023-07-23T00:00:00"/>
    <s v="Sunday"/>
    <x v="6"/>
    <x v="0"/>
    <x v="2"/>
    <n v="682.81548475800003"/>
    <n v="8"/>
    <n v="227.08104307602801"/>
    <x v="1"/>
  </r>
  <r>
    <s v="7/23/2023"/>
    <d v="2023-07-23T00:00:00"/>
    <s v="Sunday"/>
    <x v="6"/>
    <x v="0"/>
    <x v="3"/>
    <n v="497.95456971649998"/>
    <n v="19"/>
    <n v="93.681571647580995"/>
    <x v="3"/>
  </r>
  <r>
    <s v="7/23/2023"/>
    <d v="2023-07-23T00:00:00"/>
    <s v="Sunday"/>
    <x v="6"/>
    <x v="0"/>
    <x v="4"/>
    <n v="82.994562966966001"/>
    <n v="19"/>
    <n v="233.77453055382401"/>
    <x v="1"/>
  </r>
  <r>
    <s v="7/24/2023"/>
    <d v="2023-07-24T00:00:00"/>
    <s v="Monday"/>
    <x v="6"/>
    <x v="0"/>
    <x v="0"/>
    <n v="1473.4354172686501"/>
    <n v="6"/>
    <n v="278.03190359331501"/>
    <x v="2"/>
  </r>
  <r>
    <s v="7/24/2023"/>
    <d v="2023-07-24T00:00:00"/>
    <s v="Monday"/>
    <x v="6"/>
    <x v="0"/>
    <x v="1"/>
    <n v="1295.6349568456001"/>
    <n v="5"/>
    <n v="473.49824365662698"/>
    <x v="3"/>
  </r>
  <r>
    <s v="7/24/2023"/>
    <d v="2023-07-24T00:00:00"/>
    <s v="Monday"/>
    <x v="6"/>
    <x v="0"/>
    <x v="2"/>
    <n v="123.144599728"/>
    <n v="4"/>
    <n v="468.032780119238"/>
    <x v="3"/>
  </r>
  <r>
    <s v="7/24/2023"/>
    <d v="2023-07-24T00:00:00"/>
    <s v="Monday"/>
    <x v="6"/>
    <x v="0"/>
    <x v="3"/>
    <n v="926.49837623999997"/>
    <n v="17"/>
    <n v="288.92300158760798"/>
    <x v="1"/>
  </r>
  <r>
    <s v="7/24/2023"/>
    <d v="2023-07-24T00:00:00"/>
    <s v="Monday"/>
    <x v="6"/>
    <x v="0"/>
    <x v="4"/>
    <n v="1416.9892258125999"/>
    <n v="3"/>
    <n v="202.171164458611"/>
    <x v="3"/>
  </r>
  <r>
    <s v="7/25/2023"/>
    <d v="2023-07-25T00:00:00"/>
    <s v="Tuesday"/>
    <x v="6"/>
    <x v="0"/>
    <x v="0"/>
    <n v="98.872655446699994"/>
    <n v="1"/>
    <n v="115.151286340506"/>
    <x v="3"/>
  </r>
  <r>
    <s v="7/25/2023"/>
    <d v="2023-07-25T00:00:00"/>
    <s v="Tuesday"/>
    <x v="6"/>
    <x v="0"/>
    <x v="1"/>
    <n v="859.46984550000002"/>
    <n v="4"/>
    <n v="137.12611251979101"/>
    <x v="1"/>
  </r>
  <r>
    <s v="7/25/2023"/>
    <d v="2023-07-25T00:00:00"/>
    <s v="Tuesday"/>
    <x v="6"/>
    <x v="0"/>
    <x v="2"/>
    <n v="653.59157721140002"/>
    <n v="9"/>
    <n v="112.415665774641"/>
    <x v="3"/>
  </r>
  <r>
    <s v="7/25/2023"/>
    <d v="2023-07-25T00:00:00"/>
    <s v="Tuesday"/>
    <x v="6"/>
    <x v="0"/>
    <x v="3"/>
    <n v="671.37972997228997"/>
    <n v="14"/>
    <n v="157.52827046486701"/>
    <x v="1"/>
  </r>
  <r>
    <s v="7/25/2023"/>
    <d v="2023-07-25T00:00:00"/>
    <s v="Tuesday"/>
    <x v="6"/>
    <x v="0"/>
    <x v="4"/>
    <n v="189.51755396989"/>
    <n v="2"/>
    <n v="170.855991414557"/>
    <x v="3"/>
  </r>
  <r>
    <s v="7/26/2023"/>
    <d v="2023-07-26T00:00:00"/>
    <s v="Wednesday"/>
    <x v="6"/>
    <x v="0"/>
    <x v="0"/>
    <n v="1622.6912626497499"/>
    <n v="8"/>
    <n v="443.59078406446702"/>
    <x v="1"/>
  </r>
  <r>
    <s v="7/26/2023"/>
    <d v="2023-07-26T00:00:00"/>
    <s v="Wednesday"/>
    <x v="6"/>
    <x v="0"/>
    <x v="1"/>
    <n v="888.31825471432001"/>
    <n v="5"/>
    <n v="119.424687290159"/>
    <x v="1"/>
  </r>
  <r>
    <s v="7/26/2023"/>
    <d v="2023-07-26T00:00:00"/>
    <s v="Wednesday"/>
    <x v="6"/>
    <x v="0"/>
    <x v="2"/>
    <n v="119.633884943"/>
    <n v="15"/>
    <n v="262.79892997087597"/>
    <x v="1"/>
  </r>
  <r>
    <s v="7/26/2023"/>
    <d v="2023-07-26T00:00:00"/>
    <s v="Wednesday"/>
    <x v="6"/>
    <x v="0"/>
    <x v="3"/>
    <n v="664.774547945981"/>
    <n v="18"/>
    <n v="245.08167105181499"/>
    <x v="1"/>
  </r>
  <r>
    <s v="7/26/2023"/>
    <d v="2023-07-26T00:00:00"/>
    <s v="Wednesday"/>
    <x v="6"/>
    <x v="0"/>
    <x v="4"/>
    <n v="686.99954784899001"/>
    <n v="16"/>
    <n v="124.683516461106"/>
    <x v="0"/>
  </r>
  <r>
    <s v="7/27/2023"/>
    <d v="2023-07-27T00:00:00"/>
    <s v="Thursday"/>
    <x v="6"/>
    <x v="0"/>
    <x v="0"/>
    <n v="681.11319250999998"/>
    <n v="2"/>
    <n v="105.8375044"/>
    <x v="2"/>
  </r>
  <r>
    <s v="7/27/2023"/>
    <d v="2023-07-27T00:00:00"/>
    <s v="Thursday"/>
    <x v="6"/>
    <x v="0"/>
    <x v="1"/>
    <n v="135.5719995581"/>
    <n v="1"/>
    <n v="176.35282701522399"/>
    <x v="0"/>
  </r>
  <r>
    <s v="7/27/2023"/>
    <d v="2023-07-27T00:00:00"/>
    <s v="Thursday"/>
    <x v="6"/>
    <x v="0"/>
    <x v="2"/>
    <n v="187.34329247810001"/>
    <n v="15"/>
    <n v="418.59443908336698"/>
    <x v="2"/>
  </r>
  <r>
    <s v="7/27/2023"/>
    <d v="2023-07-27T00:00:00"/>
    <s v="Thursday"/>
    <x v="6"/>
    <x v="0"/>
    <x v="3"/>
    <n v="589.55488351559995"/>
    <n v="5"/>
    <n v="121.756165466327"/>
    <x v="1"/>
  </r>
  <r>
    <s v="7/27/2023"/>
    <d v="2023-07-27T00:00:00"/>
    <s v="Thursday"/>
    <x v="6"/>
    <x v="0"/>
    <x v="4"/>
    <n v="1596.1827997692401"/>
    <n v="16"/>
    <n v="263.964919586463"/>
    <x v="1"/>
  </r>
  <r>
    <s v="7/28/2023"/>
    <d v="2023-07-28T00:00:00"/>
    <s v="Friday"/>
    <x v="6"/>
    <x v="0"/>
    <x v="0"/>
    <n v="1163.4381361200001"/>
    <n v="3"/>
    <n v="314.00040369724502"/>
    <x v="1"/>
  </r>
  <r>
    <s v="7/28/2023"/>
    <d v="2023-07-28T00:00:00"/>
    <s v="Friday"/>
    <x v="6"/>
    <x v="0"/>
    <x v="1"/>
    <n v="159.94313115610001"/>
    <n v="3"/>
    <n v="236.63985859824501"/>
    <x v="2"/>
  </r>
  <r>
    <s v="7/28/2023"/>
    <d v="2023-07-28T00:00:00"/>
    <s v="Friday"/>
    <x v="6"/>
    <x v="0"/>
    <x v="2"/>
    <n v="114.14872155"/>
    <n v="5"/>
    <n v="147.77005224667701"/>
    <x v="0"/>
  </r>
  <r>
    <s v="7/28/2023"/>
    <d v="2023-07-28T00:00:00"/>
    <s v="Friday"/>
    <x v="6"/>
    <x v="0"/>
    <x v="3"/>
    <n v="1151.9193257869999"/>
    <n v="5"/>
    <n v="156.213670909325"/>
    <x v="0"/>
  </r>
  <r>
    <s v="7/28/2023"/>
    <d v="2023-07-28T00:00:00"/>
    <s v="Friday"/>
    <x v="6"/>
    <x v="0"/>
    <x v="4"/>
    <n v="572.62498867199997"/>
    <n v="16"/>
    <n v="191.85798934063101"/>
    <x v="3"/>
  </r>
  <r>
    <s v="7/29/2023"/>
    <d v="2023-07-29T00:00:00"/>
    <s v="Saturday"/>
    <x v="6"/>
    <x v="0"/>
    <x v="0"/>
    <n v="1132.8356575965499"/>
    <n v="19"/>
    <n v="337.14921459098798"/>
    <x v="3"/>
  </r>
  <r>
    <s v="7/29/2023"/>
    <d v="2023-07-29T00:00:00"/>
    <s v="Saturday"/>
    <x v="6"/>
    <x v="0"/>
    <x v="1"/>
    <n v="113.449366235"/>
    <n v="13"/>
    <n v="305.66479195378201"/>
    <x v="1"/>
  </r>
  <r>
    <s v="7/29/2023"/>
    <d v="2023-07-29T00:00:00"/>
    <s v="Saturday"/>
    <x v="6"/>
    <x v="0"/>
    <x v="2"/>
    <n v="93.174692164468993"/>
    <n v="9"/>
    <n v="98.927926064510899"/>
    <x v="2"/>
  </r>
  <r>
    <s v="7/29/2023"/>
    <d v="2023-07-29T00:00:00"/>
    <s v="Saturday"/>
    <x v="6"/>
    <x v="0"/>
    <x v="3"/>
    <n v="427.65773263678199"/>
    <n v="12"/>
    <n v="109.94051599639801"/>
    <x v="2"/>
  </r>
  <r>
    <s v="7/29/2023"/>
    <d v="2023-07-29T00:00:00"/>
    <s v="Saturday"/>
    <x v="6"/>
    <x v="0"/>
    <x v="4"/>
    <n v="741.88449676614903"/>
    <n v="8"/>
    <n v="294.40167596857401"/>
    <x v="0"/>
  </r>
  <r>
    <s v="7/30/2023"/>
    <d v="2023-07-30T00:00:00"/>
    <s v="Sunday"/>
    <x v="6"/>
    <x v="0"/>
    <x v="0"/>
    <n v="1145.8188682529001"/>
    <n v="10"/>
    <n v="397.67162081883799"/>
    <x v="0"/>
  </r>
  <r>
    <s v="7/30/2023"/>
    <d v="2023-07-30T00:00:00"/>
    <s v="Sunday"/>
    <x v="6"/>
    <x v="0"/>
    <x v="1"/>
    <n v="535.888331849"/>
    <n v="6"/>
    <n v="197.58766964289001"/>
    <x v="3"/>
  </r>
  <r>
    <s v="7/30/2023"/>
    <d v="2023-07-30T00:00:00"/>
    <s v="Sunday"/>
    <x v="6"/>
    <x v="0"/>
    <x v="2"/>
    <n v="1346.692859795"/>
    <n v="17"/>
    <n v="359.66045428200499"/>
    <x v="0"/>
  </r>
  <r>
    <s v="7/30/2023"/>
    <d v="2023-07-30T00:00:00"/>
    <s v="Sunday"/>
    <x v="6"/>
    <x v="0"/>
    <x v="3"/>
    <n v="844.41766299109997"/>
    <n v="17"/>
    <n v="295.86474895585599"/>
    <x v="3"/>
  </r>
  <r>
    <s v="7/30/2023"/>
    <d v="2023-07-30T00:00:00"/>
    <s v="Sunday"/>
    <x v="6"/>
    <x v="0"/>
    <x v="4"/>
    <n v="137.14516962677999"/>
    <n v="14"/>
    <n v="212.10082242973499"/>
    <x v="3"/>
  </r>
  <r>
    <s v="7/31/2023"/>
    <d v="2023-07-31T00:00:00"/>
    <s v="Monday"/>
    <x v="6"/>
    <x v="0"/>
    <x v="0"/>
    <n v="98.599741288199994"/>
    <n v="15"/>
    <n v="340.35350391557802"/>
    <x v="1"/>
  </r>
  <r>
    <s v="7/31/2023"/>
    <d v="2023-07-31T00:00:00"/>
    <s v="Monday"/>
    <x v="6"/>
    <x v="0"/>
    <x v="1"/>
    <n v="785.64564278277999"/>
    <n v="3"/>
    <n v="82.513919299312505"/>
    <x v="0"/>
  </r>
  <r>
    <s v="7/31/2023"/>
    <d v="2023-07-31T00:00:00"/>
    <s v="Monday"/>
    <x v="6"/>
    <x v="0"/>
    <x v="2"/>
    <n v="1269.9233158613999"/>
    <n v="17"/>
    <n v="287.10467753564598"/>
    <x v="2"/>
  </r>
  <r>
    <s v="7/31/2023"/>
    <d v="2023-07-31T00:00:00"/>
    <s v="Monday"/>
    <x v="6"/>
    <x v="0"/>
    <x v="3"/>
    <n v="991.95446900000002"/>
    <n v="6"/>
    <n v="147.17136646433599"/>
    <x v="3"/>
  </r>
  <r>
    <s v="7/31/2023"/>
    <d v="2023-07-31T00:00:00"/>
    <s v="Monday"/>
    <x v="6"/>
    <x v="0"/>
    <x v="4"/>
    <n v="845.84841494716795"/>
    <n v="18"/>
    <n v="331.01877819630698"/>
    <x v="0"/>
  </r>
  <r>
    <s v="8/1/2023"/>
    <d v="2023-08-01T00:00:00"/>
    <s v="Tuesday"/>
    <x v="7"/>
    <x v="0"/>
    <x v="0"/>
    <n v="783.87554295884797"/>
    <n v="15"/>
    <n v="222.49425478711501"/>
    <x v="1"/>
  </r>
  <r>
    <s v="8/1/2023"/>
    <d v="2023-08-01T00:00:00"/>
    <s v="Tuesday"/>
    <x v="7"/>
    <x v="0"/>
    <x v="1"/>
    <n v="771.31524768500003"/>
    <n v="15"/>
    <n v="230.26330143349799"/>
    <x v="0"/>
  </r>
  <r>
    <s v="8/1/2023"/>
    <d v="2023-08-01T00:00:00"/>
    <s v="Tuesday"/>
    <x v="7"/>
    <x v="0"/>
    <x v="2"/>
    <n v="632.8537997748"/>
    <n v="3"/>
    <n v="139.826149196583"/>
    <x v="3"/>
  </r>
  <r>
    <s v="8/1/2023"/>
    <d v="2023-08-01T00:00:00"/>
    <s v="Tuesday"/>
    <x v="7"/>
    <x v="0"/>
    <x v="3"/>
    <n v="122.798481831"/>
    <n v="12"/>
    <n v="414.21457403266197"/>
    <x v="0"/>
  </r>
  <r>
    <s v="8/1/2023"/>
    <d v="2023-08-01T00:00:00"/>
    <s v="Tuesday"/>
    <x v="7"/>
    <x v="0"/>
    <x v="4"/>
    <n v="1273.7451686422"/>
    <n v="18"/>
    <n v="167.83156725778301"/>
    <x v="3"/>
  </r>
  <r>
    <s v="8/2/2023"/>
    <d v="2023-08-02T00:00:00"/>
    <s v="Wednesday"/>
    <x v="7"/>
    <x v="0"/>
    <x v="0"/>
    <n v="957.6128138171"/>
    <n v="4"/>
    <n v="214.458906313136"/>
    <x v="2"/>
  </r>
  <r>
    <s v="8/2/2023"/>
    <d v="2023-08-02T00:00:00"/>
    <s v="Wednesday"/>
    <x v="7"/>
    <x v="0"/>
    <x v="1"/>
    <n v="471.58996675880002"/>
    <n v="15"/>
    <n v="103.079094903292"/>
    <x v="3"/>
  </r>
  <r>
    <s v="8/2/2023"/>
    <d v="2023-08-02T00:00:00"/>
    <s v="Wednesday"/>
    <x v="7"/>
    <x v="0"/>
    <x v="2"/>
    <n v="189.97223151169999"/>
    <n v="8"/>
    <n v="160.27367145400899"/>
    <x v="3"/>
  </r>
  <r>
    <s v="8/2/2023"/>
    <d v="2023-08-02T00:00:00"/>
    <s v="Wednesday"/>
    <x v="7"/>
    <x v="0"/>
    <x v="3"/>
    <n v="129.72722777199999"/>
    <n v="2"/>
    <n v="275.05092026139801"/>
    <x v="2"/>
  </r>
  <r>
    <s v="8/2/2023"/>
    <d v="2023-08-02T00:00:00"/>
    <s v="Wednesday"/>
    <x v="7"/>
    <x v="0"/>
    <x v="4"/>
    <n v="544.88135296452003"/>
    <n v="8"/>
    <n v="136.59875556259499"/>
    <x v="1"/>
  </r>
  <r>
    <s v="8/3/2023"/>
    <d v="2023-08-03T00:00:00"/>
    <s v="Thursday"/>
    <x v="7"/>
    <x v="0"/>
    <x v="0"/>
    <n v="736.92864764930005"/>
    <n v="2"/>
    <n v="269.60583783342503"/>
    <x v="3"/>
  </r>
  <r>
    <s v="8/3/2023"/>
    <d v="2023-08-03T00:00:00"/>
    <s v="Thursday"/>
    <x v="7"/>
    <x v="0"/>
    <x v="1"/>
    <n v="665.56482858544996"/>
    <n v="12"/>
    <n v="249.53766764849399"/>
    <x v="2"/>
  </r>
  <r>
    <s v="8/3/2023"/>
    <d v="2023-08-03T00:00:00"/>
    <s v="Thursday"/>
    <x v="7"/>
    <x v="0"/>
    <x v="2"/>
    <n v="655.11124314755"/>
    <n v="10"/>
    <n v="127.384905896379"/>
    <x v="2"/>
  </r>
  <r>
    <s v="8/3/2023"/>
    <d v="2023-08-03T00:00:00"/>
    <s v="Thursday"/>
    <x v="7"/>
    <x v="0"/>
    <x v="3"/>
    <n v="74.821356698200006"/>
    <n v="5"/>
    <n v="235.61373026358899"/>
    <x v="1"/>
  </r>
  <r>
    <s v="8/3/2023"/>
    <d v="2023-08-03T00:00:00"/>
    <s v="Thursday"/>
    <x v="7"/>
    <x v="0"/>
    <x v="4"/>
    <n v="1232.5466482142999"/>
    <n v="13"/>
    <n v="366.57970422993901"/>
    <x v="2"/>
  </r>
  <r>
    <s v="8/4/2023"/>
    <d v="2023-08-04T00:00:00"/>
    <s v="Friday"/>
    <x v="7"/>
    <x v="0"/>
    <x v="0"/>
    <n v="1165.912257557"/>
    <n v="6"/>
    <n v="446.48886311974201"/>
    <x v="0"/>
  </r>
  <r>
    <s v="8/4/2023"/>
    <d v="2023-08-04T00:00:00"/>
    <s v="Friday"/>
    <x v="7"/>
    <x v="0"/>
    <x v="1"/>
    <n v="49.879889238540002"/>
    <n v="6"/>
    <n v="71.872618056908493"/>
    <x v="2"/>
  </r>
  <r>
    <s v="8/4/2023"/>
    <d v="2023-08-04T00:00:00"/>
    <s v="Friday"/>
    <x v="7"/>
    <x v="0"/>
    <x v="2"/>
    <n v="664.84461487899"/>
    <n v="15"/>
    <n v="163.02386713004501"/>
    <x v="3"/>
  </r>
  <r>
    <s v="8/4/2023"/>
    <d v="2023-08-04T00:00:00"/>
    <s v="Friday"/>
    <x v="7"/>
    <x v="0"/>
    <x v="3"/>
    <n v="1149.8233275837999"/>
    <n v="6"/>
    <n v="227.16295737087299"/>
    <x v="1"/>
  </r>
  <r>
    <s v="8/4/2023"/>
    <d v="2023-08-04T00:00:00"/>
    <s v="Friday"/>
    <x v="7"/>
    <x v="0"/>
    <x v="4"/>
    <n v="915.82699661655704"/>
    <n v="3"/>
    <n v="319.20823948097598"/>
    <x v="1"/>
  </r>
  <r>
    <s v="8/5/2023"/>
    <d v="2023-08-05T00:00:00"/>
    <s v="Saturday"/>
    <x v="7"/>
    <x v="0"/>
    <x v="0"/>
    <n v="1452.29676741"/>
    <n v="5"/>
    <n v="518.69628569999998"/>
    <x v="3"/>
  </r>
  <r>
    <s v="8/5/2023"/>
    <d v="2023-08-05T00:00:00"/>
    <s v="Saturday"/>
    <x v="7"/>
    <x v="0"/>
    <x v="1"/>
    <n v="792.354336376932"/>
    <n v="6"/>
    <n v="183.96253726172401"/>
    <x v="0"/>
  </r>
  <r>
    <s v="8/5/2023"/>
    <d v="2023-08-05T00:00:00"/>
    <s v="Saturday"/>
    <x v="7"/>
    <x v="0"/>
    <x v="2"/>
    <n v="144.91712645000001"/>
    <n v="11"/>
    <n v="331.79482540314899"/>
    <x v="2"/>
  </r>
  <r>
    <s v="8/5/2023"/>
    <d v="2023-08-05T00:00:00"/>
    <s v="Saturday"/>
    <x v="7"/>
    <x v="0"/>
    <x v="3"/>
    <n v="857.69636742895796"/>
    <n v="3"/>
    <n v="342.46687795566697"/>
    <x v="3"/>
  </r>
  <r>
    <s v="8/5/2023"/>
    <d v="2023-08-05T00:00:00"/>
    <s v="Saturday"/>
    <x v="7"/>
    <x v="0"/>
    <x v="4"/>
    <n v="1384.7942234679999"/>
    <n v="17"/>
    <n v="264.96097324059099"/>
    <x v="0"/>
  </r>
  <r>
    <s v="8/6/2023"/>
    <d v="2023-08-06T00:00:00"/>
    <s v="Sunday"/>
    <x v="7"/>
    <x v="0"/>
    <x v="0"/>
    <n v="1326.3219529712001"/>
    <n v="10"/>
    <n v="380.42364829816898"/>
    <x v="1"/>
  </r>
  <r>
    <s v="8/6/2023"/>
    <d v="2023-08-06T00:00:00"/>
    <s v="Sunday"/>
    <x v="7"/>
    <x v="0"/>
    <x v="1"/>
    <n v="968.58622412397995"/>
    <n v="2"/>
    <n v="146.52858527312799"/>
    <x v="3"/>
  </r>
  <r>
    <s v="8/6/2023"/>
    <d v="2023-08-06T00:00:00"/>
    <s v="Sunday"/>
    <x v="7"/>
    <x v="0"/>
    <x v="2"/>
    <n v="188.95596171528001"/>
    <n v="15"/>
    <n v="61.8235359960998"/>
    <x v="2"/>
  </r>
  <r>
    <s v="8/6/2023"/>
    <d v="2023-08-06T00:00:00"/>
    <s v="Sunday"/>
    <x v="7"/>
    <x v="0"/>
    <x v="3"/>
    <n v="1282.85385151981"/>
    <n v="9"/>
    <n v="148.448497753976"/>
    <x v="1"/>
  </r>
  <r>
    <s v="8/6/2023"/>
    <d v="2023-08-06T00:00:00"/>
    <s v="Sunday"/>
    <x v="7"/>
    <x v="0"/>
    <x v="4"/>
    <n v="1333.1469397428"/>
    <n v="16"/>
    <n v="198.506933147674"/>
    <x v="1"/>
  </r>
  <r>
    <s v="8/7/2023"/>
    <d v="2023-08-07T00:00:00"/>
    <s v="Monday"/>
    <x v="7"/>
    <x v="0"/>
    <x v="0"/>
    <n v="119.87121261367"/>
    <n v="13"/>
    <n v="227.909774297105"/>
    <x v="0"/>
  </r>
  <r>
    <s v="8/7/2023"/>
    <d v="2023-08-07T00:00:00"/>
    <s v="Monday"/>
    <x v="7"/>
    <x v="0"/>
    <x v="1"/>
    <n v="846.79141973750995"/>
    <n v="2"/>
    <n v="320.03562016490702"/>
    <x v="2"/>
  </r>
  <r>
    <s v="8/7/2023"/>
    <d v="2023-08-07T00:00:00"/>
    <s v="Monday"/>
    <x v="7"/>
    <x v="0"/>
    <x v="2"/>
    <n v="952.52835578819997"/>
    <n v="3"/>
    <n v="103.439693835168"/>
    <x v="2"/>
  </r>
  <r>
    <s v="8/7/2023"/>
    <d v="2023-08-07T00:00:00"/>
    <s v="Monday"/>
    <x v="7"/>
    <x v="0"/>
    <x v="3"/>
    <n v="992.25364448549203"/>
    <n v="16"/>
    <n v="102.589859385265"/>
    <x v="3"/>
  </r>
  <r>
    <s v="8/7/2023"/>
    <d v="2023-08-07T00:00:00"/>
    <s v="Monday"/>
    <x v="7"/>
    <x v="0"/>
    <x v="4"/>
    <n v="67.281153828550003"/>
    <n v="10"/>
    <n v="185.33653704429599"/>
    <x v="0"/>
  </r>
  <r>
    <s v="8/8/2023"/>
    <d v="2023-08-08T00:00:00"/>
    <s v="Tuesday"/>
    <x v="7"/>
    <x v="0"/>
    <x v="0"/>
    <n v="756.3745241693"/>
    <n v="4"/>
    <n v="296.60479823213899"/>
    <x v="2"/>
  </r>
  <r>
    <s v="8/8/2023"/>
    <d v="2023-08-08T00:00:00"/>
    <s v="Tuesday"/>
    <x v="7"/>
    <x v="0"/>
    <x v="1"/>
    <n v="117.33239245"/>
    <n v="15"/>
    <n v="184.59250668356799"/>
    <x v="1"/>
  </r>
  <r>
    <s v="8/8/2023"/>
    <d v="2023-08-08T00:00:00"/>
    <s v="Tuesday"/>
    <x v="7"/>
    <x v="0"/>
    <x v="2"/>
    <n v="785.29899588477997"/>
    <n v="15"/>
    <n v="199.430547702235"/>
    <x v="1"/>
  </r>
  <r>
    <s v="8/8/2023"/>
    <d v="2023-08-08T00:00:00"/>
    <s v="Tuesday"/>
    <x v="7"/>
    <x v="0"/>
    <x v="3"/>
    <n v="97.271799276189995"/>
    <n v="11"/>
    <n v="331.536644187072"/>
    <x v="0"/>
  </r>
  <r>
    <s v="8/8/2023"/>
    <d v="2023-08-08T00:00:00"/>
    <s v="Tuesday"/>
    <x v="7"/>
    <x v="0"/>
    <x v="4"/>
    <n v="819.15383264810998"/>
    <n v="17"/>
    <n v="137.47343958354401"/>
    <x v="0"/>
  </r>
  <r>
    <s v="8/9/2023"/>
    <d v="2023-08-09T00:00:00"/>
    <s v="Wednesday"/>
    <x v="7"/>
    <x v="0"/>
    <x v="0"/>
    <n v="567.44667228599997"/>
    <n v="16"/>
    <n v="113.262065392406"/>
    <x v="1"/>
  </r>
  <r>
    <s v="8/9/2023"/>
    <d v="2023-08-09T00:00:00"/>
    <s v="Wednesday"/>
    <x v="7"/>
    <x v="0"/>
    <x v="1"/>
    <n v="1257.1992296681799"/>
    <n v="13"/>
    <n v="454.08799650403802"/>
    <x v="0"/>
  </r>
  <r>
    <s v="8/9/2023"/>
    <d v="2023-08-09T00:00:00"/>
    <s v="Wednesday"/>
    <x v="7"/>
    <x v="0"/>
    <x v="2"/>
    <n v="42.349851242184997"/>
    <n v="4"/>
    <n v="129.52730392289399"/>
    <x v="3"/>
  </r>
  <r>
    <s v="8/9/2023"/>
    <d v="2023-08-09T00:00:00"/>
    <s v="Wednesday"/>
    <x v="7"/>
    <x v="0"/>
    <x v="3"/>
    <n v="797.35564688821"/>
    <n v="19"/>
    <n v="131.46413860000001"/>
    <x v="0"/>
  </r>
  <r>
    <s v="8/9/2023"/>
    <d v="2023-08-09T00:00:00"/>
    <s v="Wednesday"/>
    <x v="7"/>
    <x v="0"/>
    <x v="4"/>
    <n v="1182.5326284225"/>
    <n v="6"/>
    <n v="241.198373640737"/>
    <x v="2"/>
  </r>
  <r>
    <s v="8/10/2023"/>
    <d v="2023-08-10T00:00:00"/>
    <s v="Thursday"/>
    <x v="7"/>
    <x v="0"/>
    <x v="0"/>
    <n v="1214.295687629"/>
    <n v="16"/>
    <n v="183.83038630196299"/>
    <x v="2"/>
  </r>
  <r>
    <s v="8/10/2023"/>
    <d v="2023-08-10T00:00:00"/>
    <s v="Thursday"/>
    <x v="7"/>
    <x v="0"/>
    <x v="1"/>
    <n v="971.12898995532998"/>
    <n v="2"/>
    <n v="153.44975383926399"/>
    <x v="2"/>
  </r>
  <r>
    <s v="8/10/2023"/>
    <d v="2023-08-10T00:00:00"/>
    <s v="Thursday"/>
    <x v="7"/>
    <x v="0"/>
    <x v="2"/>
    <n v="875.29921615792"/>
    <n v="4"/>
    <n v="320.17439831343501"/>
    <x v="3"/>
  </r>
  <r>
    <s v="8/10/2023"/>
    <d v="2023-08-10T00:00:00"/>
    <s v="Thursday"/>
    <x v="7"/>
    <x v="0"/>
    <x v="3"/>
    <n v="778.95948843585995"/>
    <n v="19"/>
    <n v="174.01268833808101"/>
    <x v="2"/>
  </r>
  <r>
    <s v="8/10/2023"/>
    <d v="2023-08-10T00:00:00"/>
    <s v="Thursday"/>
    <x v="7"/>
    <x v="0"/>
    <x v="4"/>
    <n v="889.98535588293998"/>
    <n v="15"/>
    <n v="300.06241369636399"/>
    <x v="3"/>
  </r>
  <r>
    <s v="8/11/2023"/>
    <d v="2023-08-11T00:00:00"/>
    <s v="Friday"/>
    <x v="7"/>
    <x v="0"/>
    <x v="0"/>
    <n v="1293.5266336841"/>
    <n v="18"/>
    <n v="146.929611722836"/>
    <x v="1"/>
  </r>
  <r>
    <s v="8/11/2023"/>
    <d v="2023-08-11T00:00:00"/>
    <s v="Friday"/>
    <x v="7"/>
    <x v="0"/>
    <x v="1"/>
    <n v="1156.6427637818001"/>
    <n v="11"/>
    <n v="240.74634474778401"/>
    <x v="2"/>
  </r>
  <r>
    <s v="8/11/2023"/>
    <d v="2023-08-11T00:00:00"/>
    <s v="Friday"/>
    <x v="7"/>
    <x v="0"/>
    <x v="2"/>
    <n v="983.55657972999995"/>
    <n v="7"/>
    <n v="132.954272345975"/>
    <x v="2"/>
  </r>
  <r>
    <s v="8/11/2023"/>
    <d v="2023-08-11T00:00:00"/>
    <s v="Friday"/>
    <x v="7"/>
    <x v="0"/>
    <x v="3"/>
    <n v="86.253376324116999"/>
    <n v="3"/>
    <n v="235.14347738512399"/>
    <x v="0"/>
  </r>
  <r>
    <s v="8/11/2023"/>
    <d v="2023-08-11T00:00:00"/>
    <s v="Friday"/>
    <x v="7"/>
    <x v="0"/>
    <x v="4"/>
    <n v="889.95172278760003"/>
    <n v="10"/>
    <n v="203.127859015393"/>
    <x v="3"/>
  </r>
  <r>
    <s v="8/12/2023"/>
    <d v="2023-08-12T00:00:00"/>
    <s v="Saturday"/>
    <x v="7"/>
    <x v="0"/>
    <x v="0"/>
    <n v="1449.3329623725999"/>
    <n v="17"/>
    <n v="362.64235106781803"/>
    <x v="3"/>
  </r>
  <r>
    <s v="8/12/2023"/>
    <d v="2023-08-12T00:00:00"/>
    <s v="Saturday"/>
    <x v="7"/>
    <x v="0"/>
    <x v="1"/>
    <n v="1278.413521317"/>
    <n v="4"/>
    <n v="359.18005826968499"/>
    <x v="1"/>
  </r>
  <r>
    <s v="8/12/2023"/>
    <d v="2023-08-12T00:00:00"/>
    <s v="Saturday"/>
    <x v="7"/>
    <x v="0"/>
    <x v="2"/>
    <n v="1162.8485538120001"/>
    <n v="18"/>
    <n v="204.748823969412"/>
    <x v="0"/>
  </r>
  <r>
    <s v="8/12/2023"/>
    <d v="2023-08-12T00:00:00"/>
    <s v="Saturday"/>
    <x v="7"/>
    <x v="0"/>
    <x v="3"/>
    <n v="714.35857783599999"/>
    <n v="10"/>
    <n v="241.03443831749601"/>
    <x v="2"/>
  </r>
  <r>
    <s v="8/12/2023"/>
    <d v="2023-08-12T00:00:00"/>
    <s v="Saturday"/>
    <x v="7"/>
    <x v="0"/>
    <x v="4"/>
    <n v="796.91458462440005"/>
    <n v="4"/>
    <n v="104.276769350949"/>
    <x v="2"/>
  </r>
  <r>
    <s v="8/13/2023"/>
    <d v="2023-08-13T00:00:00"/>
    <s v="Sunday"/>
    <x v="7"/>
    <x v="0"/>
    <x v="0"/>
    <n v="843.88536393928098"/>
    <n v="11"/>
    <n v="298.79125647475399"/>
    <x v="3"/>
  </r>
  <r>
    <s v="8/13/2023"/>
    <d v="2023-08-13T00:00:00"/>
    <s v="Sunday"/>
    <x v="7"/>
    <x v="0"/>
    <x v="1"/>
    <n v="918.56327936437697"/>
    <n v="3"/>
    <n v="278.27426735534402"/>
    <x v="0"/>
  </r>
  <r>
    <s v="8/13/2023"/>
    <d v="2023-08-13T00:00:00"/>
    <s v="Sunday"/>
    <x v="7"/>
    <x v="0"/>
    <x v="2"/>
    <n v="698.11919372353998"/>
    <n v="10"/>
    <n v="214.81566836089701"/>
    <x v="3"/>
  </r>
  <r>
    <s v="8/13/2023"/>
    <d v="2023-08-13T00:00:00"/>
    <s v="Sunday"/>
    <x v="7"/>
    <x v="0"/>
    <x v="3"/>
    <n v="896.87178569860998"/>
    <n v="1"/>
    <n v="257.92089347442499"/>
    <x v="0"/>
  </r>
  <r>
    <s v="8/13/2023"/>
    <d v="2023-08-13T00:00:00"/>
    <s v="Sunday"/>
    <x v="7"/>
    <x v="0"/>
    <x v="4"/>
    <n v="624.34766579999996"/>
    <n v="16"/>
    <n v="102.205832938383"/>
    <x v="0"/>
  </r>
  <r>
    <s v="8/14/2023"/>
    <d v="2023-08-14T00:00:00"/>
    <s v="Monday"/>
    <x v="7"/>
    <x v="0"/>
    <x v="0"/>
    <n v="1229.74284739786"/>
    <n v="18"/>
    <n v="139.574640460757"/>
    <x v="0"/>
  </r>
  <r>
    <s v="8/14/2023"/>
    <d v="2023-08-14T00:00:00"/>
    <s v="Monday"/>
    <x v="7"/>
    <x v="0"/>
    <x v="1"/>
    <n v="521.7145215562"/>
    <n v="9"/>
    <n v="125.000231435366"/>
    <x v="0"/>
  </r>
  <r>
    <s v="8/14/2023"/>
    <d v="2023-08-14T00:00:00"/>
    <s v="Monday"/>
    <x v="7"/>
    <x v="0"/>
    <x v="2"/>
    <n v="158.69948584799999"/>
    <n v="10"/>
    <n v="187.723967141396"/>
    <x v="2"/>
  </r>
  <r>
    <s v="8/14/2023"/>
    <d v="2023-08-14T00:00:00"/>
    <s v="Monday"/>
    <x v="7"/>
    <x v="0"/>
    <x v="3"/>
    <n v="981.36721239439998"/>
    <n v="2"/>
    <n v="223.67272868307899"/>
    <x v="3"/>
  </r>
  <r>
    <s v="8/14/2023"/>
    <d v="2023-08-14T00:00:00"/>
    <s v="Monday"/>
    <x v="7"/>
    <x v="0"/>
    <x v="4"/>
    <n v="1368.65178852176"/>
    <n v="4"/>
    <n v="208.574533853368"/>
    <x v="1"/>
  </r>
  <r>
    <s v="8/15/2023"/>
    <d v="2023-08-15T00:00:00"/>
    <s v="Tuesday"/>
    <x v="7"/>
    <x v="0"/>
    <x v="0"/>
    <n v="135.663627695"/>
    <n v="2"/>
    <n v="155.426433317662"/>
    <x v="3"/>
  </r>
  <r>
    <s v="8/15/2023"/>
    <d v="2023-08-15T00:00:00"/>
    <s v="Tuesday"/>
    <x v="7"/>
    <x v="0"/>
    <x v="1"/>
    <n v="1152.8688863770001"/>
    <n v="5"/>
    <n v="314.80522117648701"/>
    <x v="0"/>
  </r>
  <r>
    <s v="8/15/2023"/>
    <d v="2023-08-15T00:00:00"/>
    <s v="Tuesday"/>
    <x v="7"/>
    <x v="0"/>
    <x v="2"/>
    <n v="982.87286625595902"/>
    <n v="14"/>
    <n v="124.78854228839"/>
    <x v="2"/>
  </r>
  <r>
    <s v="8/15/2023"/>
    <d v="2023-08-15T00:00:00"/>
    <s v="Tuesday"/>
    <x v="7"/>
    <x v="0"/>
    <x v="3"/>
    <n v="94.684797316710998"/>
    <n v="14"/>
    <n v="319.89106352635298"/>
    <x v="2"/>
  </r>
  <r>
    <s v="8/15/2023"/>
    <d v="2023-08-15T00:00:00"/>
    <s v="Tuesday"/>
    <x v="7"/>
    <x v="0"/>
    <x v="4"/>
    <n v="679.79544819759997"/>
    <n v="4"/>
    <n v="270.14109047445999"/>
    <x v="2"/>
  </r>
  <r>
    <s v="8/16/2023"/>
    <d v="2023-08-16T00:00:00"/>
    <s v="Wednesday"/>
    <x v="7"/>
    <x v="0"/>
    <x v="0"/>
    <n v="916.12958700000001"/>
    <n v="14"/>
    <n v="307.29814979261499"/>
    <x v="0"/>
  </r>
  <r>
    <s v="8/16/2023"/>
    <d v="2023-08-16T00:00:00"/>
    <s v="Wednesday"/>
    <x v="7"/>
    <x v="0"/>
    <x v="1"/>
    <n v="133.38334159799999"/>
    <n v="1"/>
    <n v="362.9853484569"/>
    <x v="3"/>
  </r>
  <r>
    <s v="8/16/2023"/>
    <d v="2023-08-16T00:00:00"/>
    <s v="Wednesday"/>
    <x v="7"/>
    <x v="0"/>
    <x v="2"/>
    <n v="145.73436225"/>
    <n v="18"/>
    <n v="286.90516512560401"/>
    <x v="1"/>
  </r>
  <r>
    <s v="8/16/2023"/>
    <d v="2023-08-16T00:00:00"/>
    <s v="Wednesday"/>
    <x v="7"/>
    <x v="0"/>
    <x v="3"/>
    <n v="1195.7939221531201"/>
    <n v="8"/>
    <n v="165.417038178761"/>
    <x v="1"/>
  </r>
  <r>
    <s v="8/16/2023"/>
    <d v="2023-08-16T00:00:00"/>
    <s v="Wednesday"/>
    <x v="7"/>
    <x v="0"/>
    <x v="4"/>
    <n v="658.69376334778997"/>
    <n v="14"/>
    <n v="209.88184403445601"/>
    <x v="3"/>
  </r>
  <r>
    <s v="8/17/2023"/>
    <d v="2023-08-17T00:00:00"/>
    <s v="Thursday"/>
    <x v="7"/>
    <x v="0"/>
    <x v="0"/>
    <n v="974.98191366133403"/>
    <n v="5"/>
    <n v="127.752108739495"/>
    <x v="3"/>
  </r>
  <r>
    <s v="8/17/2023"/>
    <d v="2023-08-17T00:00:00"/>
    <s v="Thursday"/>
    <x v="7"/>
    <x v="0"/>
    <x v="1"/>
    <n v="43.656557187956899"/>
    <n v="8"/>
    <n v="8.1408771577335006"/>
    <x v="2"/>
  </r>
  <r>
    <s v="8/17/2023"/>
    <d v="2023-08-17T00:00:00"/>
    <s v="Thursday"/>
    <x v="7"/>
    <x v="0"/>
    <x v="2"/>
    <n v="725.11776983881998"/>
    <n v="19"/>
    <n v="104.754311653324"/>
    <x v="2"/>
  </r>
  <r>
    <s v="8/17/2023"/>
    <d v="2023-08-17T00:00:00"/>
    <s v="Thursday"/>
    <x v="7"/>
    <x v="0"/>
    <x v="3"/>
    <n v="146.6328433164"/>
    <n v="8"/>
    <n v="518.09285971608699"/>
    <x v="3"/>
  </r>
  <r>
    <s v="8/17/2023"/>
    <d v="2023-08-17T00:00:00"/>
    <s v="Thursday"/>
    <x v="7"/>
    <x v="0"/>
    <x v="4"/>
    <n v="1182.52232613976"/>
    <n v="6"/>
    <n v="406.40624141180098"/>
    <x v="1"/>
  </r>
  <r>
    <s v="8/18/2023"/>
    <d v="2023-08-18T00:00:00"/>
    <s v="Friday"/>
    <x v="7"/>
    <x v="0"/>
    <x v="0"/>
    <n v="1829.79388433178"/>
    <n v="2"/>
    <n v="516.25911559999997"/>
    <x v="3"/>
  </r>
  <r>
    <s v="8/18/2023"/>
    <d v="2023-08-18T00:00:00"/>
    <s v="Friday"/>
    <x v="7"/>
    <x v="0"/>
    <x v="1"/>
    <n v="837.92498999269003"/>
    <n v="1"/>
    <n v="162.955736082047"/>
    <x v="1"/>
  </r>
  <r>
    <s v="8/18/2023"/>
    <d v="2023-08-18T00:00:00"/>
    <s v="Friday"/>
    <x v="7"/>
    <x v="0"/>
    <x v="2"/>
    <n v="596.25464637273001"/>
    <n v="11"/>
    <n v="208.04183979999999"/>
    <x v="2"/>
  </r>
  <r>
    <s v="8/18/2023"/>
    <d v="2023-08-18T00:00:00"/>
    <s v="Friday"/>
    <x v="7"/>
    <x v="0"/>
    <x v="3"/>
    <n v="1425.5594354441"/>
    <n v="16"/>
    <n v="568.32872274570195"/>
    <x v="2"/>
  </r>
  <r>
    <s v="8/18/2023"/>
    <d v="2023-08-18T00:00:00"/>
    <s v="Friday"/>
    <x v="7"/>
    <x v="0"/>
    <x v="4"/>
    <n v="253.6574339476"/>
    <n v="3"/>
    <n v="87.192740149035004"/>
    <x v="2"/>
  </r>
  <r>
    <s v="8/19/2023"/>
    <d v="2023-08-19T00:00:00"/>
    <s v="Saturday"/>
    <x v="7"/>
    <x v="0"/>
    <x v="0"/>
    <n v="43.797946941926"/>
    <n v="2"/>
    <n v="121.846910285539"/>
    <x v="2"/>
  </r>
  <r>
    <s v="8/19/2023"/>
    <d v="2023-08-19T00:00:00"/>
    <s v="Saturday"/>
    <x v="7"/>
    <x v="0"/>
    <x v="1"/>
    <n v="922.76194452657205"/>
    <n v="8"/>
    <n v="179.54348056523199"/>
    <x v="1"/>
  </r>
  <r>
    <s v="8/19/2023"/>
    <d v="2023-08-19T00:00:00"/>
    <s v="Saturday"/>
    <x v="7"/>
    <x v="0"/>
    <x v="2"/>
    <n v="144.44435458289999"/>
    <n v="5"/>
    <n v="384.18259666342402"/>
    <x v="3"/>
  </r>
  <r>
    <s v="8/19/2023"/>
    <d v="2023-08-19T00:00:00"/>
    <s v="Saturday"/>
    <x v="7"/>
    <x v="0"/>
    <x v="3"/>
    <n v="77.516427699999994"/>
    <n v="13"/>
    <n v="136.39916726000399"/>
    <x v="1"/>
  </r>
  <r>
    <s v="8/19/2023"/>
    <d v="2023-08-19T00:00:00"/>
    <s v="Saturday"/>
    <x v="7"/>
    <x v="0"/>
    <x v="4"/>
    <n v="999.96425543227099"/>
    <n v="6"/>
    <n v="127.74556500846499"/>
    <x v="1"/>
  </r>
  <r>
    <s v="8/20/2023"/>
    <d v="2023-08-20T00:00:00"/>
    <s v="Sunday"/>
    <x v="7"/>
    <x v="0"/>
    <x v="0"/>
    <n v="1325.213137339"/>
    <n v="13"/>
    <n v="400.297082993331"/>
    <x v="0"/>
  </r>
  <r>
    <s v="8/20/2023"/>
    <d v="2023-08-20T00:00:00"/>
    <s v="Sunday"/>
    <x v="7"/>
    <x v="0"/>
    <x v="1"/>
    <n v="862.13531765147297"/>
    <n v="13"/>
    <n v="306.04751898341101"/>
    <x v="1"/>
  </r>
  <r>
    <s v="8/20/2023"/>
    <d v="2023-08-20T00:00:00"/>
    <s v="Sunday"/>
    <x v="7"/>
    <x v="0"/>
    <x v="2"/>
    <n v="478.56658136383999"/>
    <n v="8"/>
    <n v="65.881828178329599"/>
    <x v="2"/>
  </r>
  <r>
    <s v="8/20/2023"/>
    <d v="2023-08-20T00:00:00"/>
    <s v="Sunday"/>
    <x v="7"/>
    <x v="0"/>
    <x v="3"/>
    <n v="458.2368259333"/>
    <n v="11"/>
    <n v="83.980254082715604"/>
    <x v="0"/>
  </r>
  <r>
    <s v="8/20/2023"/>
    <d v="2023-08-20T00:00:00"/>
    <s v="Sunday"/>
    <x v="7"/>
    <x v="0"/>
    <x v="4"/>
    <n v="158.65274547230001"/>
    <n v="19"/>
    <n v="370.23749537724899"/>
    <x v="1"/>
  </r>
  <r>
    <s v="8/21/2023"/>
    <d v="2023-08-21T00:00:00"/>
    <s v="Monday"/>
    <x v="7"/>
    <x v="0"/>
    <x v="0"/>
    <n v="1354.14726339188"/>
    <n v="14"/>
    <n v="154.95194749958401"/>
    <x v="2"/>
  </r>
  <r>
    <s v="8/21/2023"/>
    <d v="2023-08-21T00:00:00"/>
    <s v="Monday"/>
    <x v="7"/>
    <x v="0"/>
    <x v="1"/>
    <n v="1683.5259595876"/>
    <n v="11"/>
    <n v="189.351770173961"/>
    <x v="1"/>
  </r>
  <r>
    <s v="8/21/2023"/>
    <d v="2023-08-21T00:00:00"/>
    <s v="Monday"/>
    <x v="7"/>
    <x v="0"/>
    <x v="2"/>
    <n v="797.822695981121"/>
    <n v="6"/>
    <n v="236.06368657675699"/>
    <x v="3"/>
  </r>
  <r>
    <s v="8/21/2023"/>
    <d v="2023-08-21T00:00:00"/>
    <s v="Monday"/>
    <x v="7"/>
    <x v="0"/>
    <x v="3"/>
    <n v="542.41673964517997"/>
    <n v="1"/>
    <n v="213.22917492102701"/>
    <x v="3"/>
  </r>
  <r>
    <s v="8/21/2023"/>
    <d v="2023-08-21T00:00:00"/>
    <s v="Monday"/>
    <x v="7"/>
    <x v="0"/>
    <x v="4"/>
    <n v="1476.9516934542"/>
    <n v="7"/>
    <n v="431.69770599678901"/>
    <x v="0"/>
  </r>
  <r>
    <s v="8/22/2023"/>
    <d v="2023-08-22T00:00:00"/>
    <s v="Tuesday"/>
    <x v="7"/>
    <x v="0"/>
    <x v="0"/>
    <n v="1172.2213662682"/>
    <n v="4"/>
    <n v="184.016295841415"/>
    <x v="2"/>
  </r>
  <r>
    <s v="8/22/2023"/>
    <d v="2023-08-22T00:00:00"/>
    <s v="Tuesday"/>
    <x v="7"/>
    <x v="0"/>
    <x v="1"/>
    <n v="79.245376517099999"/>
    <n v="19"/>
    <n v="295.06376276715798"/>
    <x v="2"/>
  </r>
  <r>
    <s v="8/22/2023"/>
    <d v="2023-08-22T00:00:00"/>
    <s v="Tuesday"/>
    <x v="7"/>
    <x v="0"/>
    <x v="2"/>
    <n v="1348.7374859776901"/>
    <n v="16"/>
    <n v="157.88917062902499"/>
    <x v="0"/>
  </r>
  <r>
    <s v="8/22/2023"/>
    <d v="2023-08-22T00:00:00"/>
    <s v="Tuesday"/>
    <x v="7"/>
    <x v="0"/>
    <x v="3"/>
    <n v="845.51222223792001"/>
    <n v="4"/>
    <n v="184.98215141262199"/>
    <x v="0"/>
  </r>
  <r>
    <s v="8/22/2023"/>
    <d v="2023-08-22T00:00:00"/>
    <s v="Tuesday"/>
    <x v="7"/>
    <x v="0"/>
    <x v="4"/>
    <n v="1261.3227186536701"/>
    <n v="7"/>
    <n v="297.99392354071199"/>
    <x v="1"/>
  </r>
  <r>
    <s v="8/23/2023"/>
    <d v="2023-08-23T00:00:00"/>
    <s v="Wednesday"/>
    <x v="7"/>
    <x v="0"/>
    <x v="0"/>
    <n v="1245.43818587445"/>
    <n v="13"/>
    <n v="169.54673357306299"/>
    <x v="3"/>
  </r>
  <r>
    <s v="8/23/2023"/>
    <d v="2023-08-23T00:00:00"/>
    <s v="Wednesday"/>
    <x v="7"/>
    <x v="0"/>
    <x v="1"/>
    <n v="367.94488260000003"/>
    <n v="11"/>
    <n v="143.79158838388599"/>
    <x v="2"/>
  </r>
  <r>
    <s v="8/23/2023"/>
    <d v="2023-08-23T00:00:00"/>
    <s v="Wednesday"/>
    <x v="7"/>
    <x v="0"/>
    <x v="2"/>
    <n v="957.63323933723996"/>
    <n v="1"/>
    <n v="241.11241462807101"/>
    <x v="2"/>
  </r>
  <r>
    <s v="8/23/2023"/>
    <d v="2023-08-23T00:00:00"/>
    <s v="Wednesday"/>
    <x v="7"/>
    <x v="0"/>
    <x v="3"/>
    <n v="142.84771119000001"/>
    <n v="3"/>
    <n v="417.02300643929999"/>
    <x v="0"/>
  </r>
  <r>
    <s v="8/23/2023"/>
    <d v="2023-08-23T00:00:00"/>
    <s v="Wednesday"/>
    <x v="7"/>
    <x v="0"/>
    <x v="4"/>
    <n v="192.42569822774001"/>
    <n v="6"/>
    <n v="236.16312561473001"/>
    <x v="1"/>
  </r>
  <r>
    <s v="8/24/2023"/>
    <d v="2023-08-24T00:00:00"/>
    <s v="Thursday"/>
    <x v="7"/>
    <x v="0"/>
    <x v="0"/>
    <n v="99.884353147400006"/>
    <n v="6"/>
    <n v="234.458042405127"/>
    <x v="0"/>
  </r>
  <r>
    <s v="8/24/2023"/>
    <d v="2023-08-24T00:00:00"/>
    <s v="Thursday"/>
    <x v="7"/>
    <x v="0"/>
    <x v="1"/>
    <n v="151.75834876920001"/>
    <n v="18"/>
    <n v="167.53639496675299"/>
    <x v="2"/>
  </r>
  <r>
    <s v="8/24/2023"/>
    <d v="2023-08-24T00:00:00"/>
    <s v="Thursday"/>
    <x v="7"/>
    <x v="0"/>
    <x v="2"/>
    <n v="1153.2588967444899"/>
    <n v="10"/>
    <n v="206.134850901899"/>
    <x v="3"/>
  </r>
  <r>
    <s v="8/24/2023"/>
    <d v="2023-08-24T00:00:00"/>
    <s v="Thursday"/>
    <x v="7"/>
    <x v="0"/>
    <x v="3"/>
    <n v="46.978596165840003"/>
    <n v="1"/>
    <n v="63.636807571022899"/>
    <x v="0"/>
  </r>
  <r>
    <s v="8/24/2023"/>
    <d v="2023-08-24T00:00:00"/>
    <s v="Thursday"/>
    <x v="7"/>
    <x v="0"/>
    <x v="4"/>
    <n v="1447.1138415789001"/>
    <n v="2"/>
    <n v="161.24594793137899"/>
    <x v="3"/>
  </r>
  <r>
    <s v="8/25/2023"/>
    <d v="2023-08-25T00:00:00"/>
    <s v="Friday"/>
    <x v="7"/>
    <x v="0"/>
    <x v="0"/>
    <n v="1649.5168234197999"/>
    <n v="9"/>
    <n v="213.74153438602099"/>
    <x v="3"/>
  </r>
  <r>
    <s v="8/25/2023"/>
    <d v="2023-08-25T00:00:00"/>
    <s v="Friday"/>
    <x v="7"/>
    <x v="0"/>
    <x v="1"/>
    <n v="1357.164578337"/>
    <n v="19"/>
    <n v="256.01603822875597"/>
    <x v="3"/>
  </r>
  <r>
    <s v="8/25/2023"/>
    <d v="2023-08-25T00:00:00"/>
    <s v="Friday"/>
    <x v="7"/>
    <x v="0"/>
    <x v="2"/>
    <n v="137.17522792790001"/>
    <n v="14"/>
    <n v="149.88022278227601"/>
    <x v="3"/>
  </r>
  <r>
    <s v="8/25/2023"/>
    <d v="2023-08-25T00:00:00"/>
    <s v="Friday"/>
    <x v="7"/>
    <x v="0"/>
    <x v="3"/>
    <n v="762.48719482972103"/>
    <n v="16"/>
    <n v="203.96966661494699"/>
    <x v="1"/>
  </r>
  <r>
    <s v="8/25/2023"/>
    <d v="2023-08-25T00:00:00"/>
    <s v="Friday"/>
    <x v="7"/>
    <x v="0"/>
    <x v="4"/>
    <n v="1591.7626533693999"/>
    <n v="17"/>
    <n v="409.240625834936"/>
    <x v="2"/>
  </r>
  <r>
    <s v="8/26/2023"/>
    <d v="2023-08-26T00:00:00"/>
    <s v="Saturday"/>
    <x v="7"/>
    <x v="0"/>
    <x v="0"/>
    <n v="584.23617282999999"/>
    <n v="16"/>
    <n v="161.232706241367"/>
    <x v="3"/>
  </r>
  <r>
    <s v="8/26/2023"/>
    <d v="2023-08-26T00:00:00"/>
    <s v="Saturday"/>
    <x v="7"/>
    <x v="0"/>
    <x v="1"/>
    <n v="812.92717263939505"/>
    <n v="2"/>
    <n v="234.95866449968901"/>
    <x v="2"/>
  </r>
  <r>
    <s v="8/26/2023"/>
    <d v="2023-08-26T00:00:00"/>
    <s v="Saturday"/>
    <x v="7"/>
    <x v="0"/>
    <x v="2"/>
    <n v="697.41356849629994"/>
    <n v="4"/>
    <n v="233.65793881133101"/>
    <x v="0"/>
  </r>
  <r>
    <s v="8/26/2023"/>
    <d v="2023-08-26T00:00:00"/>
    <s v="Saturday"/>
    <x v="7"/>
    <x v="0"/>
    <x v="3"/>
    <n v="1178.7363447979999"/>
    <n v="13"/>
    <n v="257.24837847869998"/>
    <x v="3"/>
  </r>
  <r>
    <s v="8/26/2023"/>
    <d v="2023-08-26T00:00:00"/>
    <s v="Saturday"/>
    <x v="7"/>
    <x v="0"/>
    <x v="4"/>
    <n v="694.77849361386995"/>
    <n v="8"/>
    <n v="236.575751034327"/>
    <x v="1"/>
  </r>
  <r>
    <s v="8/27/2023"/>
    <d v="2023-08-27T00:00:00"/>
    <s v="Sunday"/>
    <x v="7"/>
    <x v="0"/>
    <x v="0"/>
    <n v="179.61382947999999"/>
    <n v="5"/>
    <n v="184.64141672933201"/>
    <x v="2"/>
  </r>
  <r>
    <s v="8/27/2023"/>
    <d v="2023-08-27T00:00:00"/>
    <s v="Sunday"/>
    <x v="7"/>
    <x v="0"/>
    <x v="1"/>
    <n v="1159.5234649376901"/>
    <n v="1"/>
    <n v="167.832032670964"/>
    <x v="3"/>
  </r>
  <r>
    <s v="8/27/2023"/>
    <d v="2023-08-27T00:00:00"/>
    <s v="Sunday"/>
    <x v="7"/>
    <x v="0"/>
    <x v="2"/>
    <n v="823.27216427300004"/>
    <n v="15"/>
    <n v="233.009907286859"/>
    <x v="1"/>
  </r>
  <r>
    <s v="8/27/2023"/>
    <d v="2023-08-27T00:00:00"/>
    <s v="Sunday"/>
    <x v="7"/>
    <x v="0"/>
    <x v="3"/>
    <n v="1253.28496842922"/>
    <n v="12"/>
    <n v="145.84429864199501"/>
    <x v="1"/>
  </r>
  <r>
    <s v="8/27/2023"/>
    <d v="2023-08-27T00:00:00"/>
    <s v="Sunday"/>
    <x v="7"/>
    <x v="0"/>
    <x v="4"/>
    <n v="946.77386850000005"/>
    <n v="6"/>
    <n v="156.122853084442"/>
    <x v="0"/>
  </r>
  <r>
    <s v="8/28/2023"/>
    <d v="2023-08-28T00:00:00"/>
    <s v="Monday"/>
    <x v="7"/>
    <x v="0"/>
    <x v="0"/>
    <n v="593.34115127119003"/>
    <n v="12"/>
    <n v="67.942790991796699"/>
    <x v="2"/>
  </r>
  <r>
    <s v="8/28/2023"/>
    <d v="2023-08-28T00:00:00"/>
    <s v="Monday"/>
    <x v="7"/>
    <x v="0"/>
    <x v="1"/>
    <n v="587.81357737999997"/>
    <n v="4"/>
    <n v="121.046191395248"/>
    <x v="0"/>
  </r>
  <r>
    <s v="8/28/2023"/>
    <d v="2023-08-28T00:00:00"/>
    <s v="Monday"/>
    <x v="7"/>
    <x v="0"/>
    <x v="2"/>
    <n v="919.29916723566998"/>
    <n v="2"/>
    <n v="319.71358175627603"/>
    <x v="2"/>
  </r>
  <r>
    <s v="8/28/2023"/>
    <d v="2023-08-28T00:00:00"/>
    <s v="Monday"/>
    <x v="7"/>
    <x v="0"/>
    <x v="3"/>
    <n v="269.74784247221999"/>
    <n v="16"/>
    <n v="97.078666038207203"/>
    <x v="1"/>
  </r>
  <r>
    <s v="8/28/2023"/>
    <d v="2023-08-28T00:00:00"/>
    <s v="Monday"/>
    <x v="7"/>
    <x v="0"/>
    <x v="4"/>
    <n v="546.93926374930004"/>
    <n v="19"/>
    <n v="157.349422392093"/>
    <x v="0"/>
  </r>
  <r>
    <s v="8/29/2023"/>
    <d v="2023-08-29T00:00:00"/>
    <s v="Tuesday"/>
    <x v="7"/>
    <x v="0"/>
    <x v="0"/>
    <n v="1149.72693851599"/>
    <n v="10"/>
    <n v="302.26256803764699"/>
    <x v="2"/>
  </r>
  <r>
    <s v="8/29/2023"/>
    <d v="2023-08-29T00:00:00"/>
    <s v="Tuesday"/>
    <x v="7"/>
    <x v="0"/>
    <x v="1"/>
    <n v="1169.3798625497"/>
    <n v="15"/>
    <n v="336.214141676758"/>
    <x v="1"/>
  </r>
  <r>
    <s v="8/29/2023"/>
    <d v="2023-08-29T00:00:00"/>
    <s v="Tuesday"/>
    <x v="7"/>
    <x v="0"/>
    <x v="2"/>
    <n v="883.69257743100002"/>
    <n v="15"/>
    <n v="246.905410074375"/>
    <x v="3"/>
  </r>
  <r>
    <s v="8/29/2023"/>
    <d v="2023-08-29T00:00:00"/>
    <s v="Tuesday"/>
    <x v="7"/>
    <x v="0"/>
    <x v="3"/>
    <n v="875.91533111700005"/>
    <n v="15"/>
    <n v="312.21276816449802"/>
    <x v="0"/>
  </r>
  <r>
    <s v="8/29/2023"/>
    <d v="2023-08-29T00:00:00"/>
    <s v="Tuesday"/>
    <x v="7"/>
    <x v="0"/>
    <x v="4"/>
    <n v="287.71439864000001"/>
    <n v="15"/>
    <n v="72.258145290414802"/>
    <x v="0"/>
  </r>
  <r>
    <s v="8/30/2023"/>
    <d v="2023-08-30T00:00:00"/>
    <s v="Wednesday"/>
    <x v="7"/>
    <x v="0"/>
    <x v="0"/>
    <n v="898.39259823436998"/>
    <n v="3"/>
    <n v="109.016980365717"/>
    <x v="1"/>
  </r>
  <r>
    <s v="8/30/2023"/>
    <d v="2023-08-30T00:00:00"/>
    <s v="Wednesday"/>
    <x v="7"/>
    <x v="0"/>
    <x v="1"/>
    <n v="16.718723843999999"/>
    <n v="9"/>
    <n v="283.42304471922603"/>
    <x v="0"/>
  </r>
  <r>
    <s v="8/30/2023"/>
    <d v="2023-08-30T00:00:00"/>
    <s v="Wednesday"/>
    <x v="7"/>
    <x v="0"/>
    <x v="2"/>
    <n v="12.48378233"/>
    <n v="7"/>
    <n v="129.723712590042"/>
    <x v="2"/>
  </r>
  <r>
    <s v="8/30/2023"/>
    <d v="2023-08-30T00:00:00"/>
    <s v="Wednesday"/>
    <x v="7"/>
    <x v="0"/>
    <x v="3"/>
    <n v="25.271371988199999"/>
    <n v="10"/>
    <n v="78.780885954615997"/>
    <x v="2"/>
  </r>
  <r>
    <s v="8/30/2023"/>
    <d v="2023-08-30T00:00:00"/>
    <s v="Wednesday"/>
    <x v="7"/>
    <x v="0"/>
    <x v="4"/>
    <n v="145.45871368300001"/>
    <n v="8"/>
    <n v="265.60736852610898"/>
    <x v="0"/>
  </r>
  <r>
    <s v="8/31/2023"/>
    <d v="2023-08-31T00:00:00"/>
    <s v="Thursday"/>
    <x v="7"/>
    <x v="0"/>
    <x v="0"/>
    <n v="1193.5573761184"/>
    <n v="14"/>
    <n v="207.384492659579"/>
    <x v="0"/>
  </r>
  <r>
    <s v="8/31/2023"/>
    <d v="2023-08-31T00:00:00"/>
    <s v="Thursday"/>
    <x v="7"/>
    <x v="0"/>
    <x v="1"/>
    <n v="1223.4974258842201"/>
    <n v="11"/>
    <n v="375.88030314789398"/>
    <x v="0"/>
  </r>
  <r>
    <s v="8/31/2023"/>
    <d v="2023-08-31T00:00:00"/>
    <s v="Thursday"/>
    <x v="7"/>
    <x v="0"/>
    <x v="2"/>
    <n v="1293.3446650000001"/>
    <n v="18"/>
    <n v="390.22399962666202"/>
    <x v="1"/>
  </r>
  <r>
    <s v="8/31/2023"/>
    <d v="2023-08-31T00:00:00"/>
    <s v="Thursday"/>
    <x v="7"/>
    <x v="0"/>
    <x v="3"/>
    <n v="368.35917447920002"/>
    <n v="19"/>
    <n v="73.419555195166495"/>
    <x v="3"/>
  </r>
  <r>
    <s v="8/31/2023"/>
    <d v="2023-08-31T00:00:00"/>
    <s v="Thursday"/>
    <x v="7"/>
    <x v="0"/>
    <x v="4"/>
    <n v="27.736961968879999"/>
    <n v="1"/>
    <n v="22.1577078415723"/>
    <x v="0"/>
  </r>
  <r>
    <s v="9/1/2023"/>
    <d v="2023-09-01T00:00:00"/>
    <s v="Friday"/>
    <x v="8"/>
    <x v="0"/>
    <x v="0"/>
    <n v="92.968639736618002"/>
    <n v="2"/>
    <n v="101.51934350000001"/>
    <x v="2"/>
  </r>
  <r>
    <s v="9/1/2023"/>
    <d v="2023-09-01T00:00:00"/>
    <s v="Friday"/>
    <x v="8"/>
    <x v="0"/>
    <x v="1"/>
    <n v="1459.58559659"/>
    <n v="16"/>
    <n v="196.13552240883101"/>
    <x v="0"/>
  </r>
  <r>
    <s v="9/1/2023"/>
    <d v="2023-09-01T00:00:00"/>
    <s v="Friday"/>
    <x v="8"/>
    <x v="0"/>
    <x v="2"/>
    <n v="1199.4781486951999"/>
    <n v="13"/>
    <n v="180.94275116114201"/>
    <x v="3"/>
  </r>
  <r>
    <s v="9/1/2023"/>
    <d v="2023-09-01T00:00:00"/>
    <s v="Friday"/>
    <x v="8"/>
    <x v="0"/>
    <x v="3"/>
    <n v="1148.8597562898999"/>
    <n v="2"/>
    <n v="317.440411567274"/>
    <x v="0"/>
  </r>
  <r>
    <s v="9/1/2023"/>
    <d v="2023-09-01T00:00:00"/>
    <s v="Friday"/>
    <x v="8"/>
    <x v="0"/>
    <x v="4"/>
    <n v="839.44986229719996"/>
    <n v="18"/>
    <n v="167.541828467394"/>
    <x v="3"/>
  </r>
  <r>
    <s v="9/2/2023"/>
    <d v="2023-09-02T00:00:00"/>
    <s v="Saturday"/>
    <x v="8"/>
    <x v="0"/>
    <x v="0"/>
    <n v="945.54858684110002"/>
    <n v="11"/>
    <n v="333.72392702620101"/>
    <x v="1"/>
  </r>
  <r>
    <s v="9/2/2023"/>
    <d v="2023-09-02T00:00:00"/>
    <s v="Saturday"/>
    <x v="8"/>
    <x v="0"/>
    <x v="1"/>
    <n v="892.99859746380002"/>
    <n v="14"/>
    <n v="346.91612090000001"/>
    <x v="0"/>
  </r>
  <r>
    <s v="9/2/2023"/>
    <d v="2023-09-02T00:00:00"/>
    <s v="Saturday"/>
    <x v="8"/>
    <x v="0"/>
    <x v="2"/>
    <n v="849.46474215653996"/>
    <n v="19"/>
    <n v="273.446836823436"/>
    <x v="2"/>
  </r>
  <r>
    <s v="9/2/2023"/>
    <d v="2023-09-02T00:00:00"/>
    <s v="Saturday"/>
    <x v="8"/>
    <x v="0"/>
    <x v="3"/>
    <n v="588.26335634768998"/>
    <n v="19"/>
    <n v="117.803729025327"/>
    <x v="1"/>
  </r>
  <r>
    <s v="9/2/2023"/>
    <d v="2023-09-02T00:00:00"/>
    <s v="Saturday"/>
    <x v="8"/>
    <x v="0"/>
    <x v="4"/>
    <n v="1281.4947147893499"/>
    <n v="1"/>
    <n v="448.24574757558298"/>
    <x v="1"/>
  </r>
  <r>
    <s v="9/3/2023"/>
    <d v="2023-09-03T00:00:00"/>
    <s v="Sunday"/>
    <x v="8"/>
    <x v="0"/>
    <x v="0"/>
    <n v="723.62646656712798"/>
    <n v="17"/>
    <n v="280.15856361277503"/>
    <x v="1"/>
  </r>
  <r>
    <s v="9/3/2023"/>
    <d v="2023-09-03T00:00:00"/>
    <s v="Sunday"/>
    <x v="8"/>
    <x v="0"/>
    <x v="1"/>
    <n v="924.94365378509997"/>
    <n v="16"/>
    <n v="280.00670004522601"/>
    <x v="2"/>
  </r>
  <r>
    <s v="9/3/2023"/>
    <d v="2023-09-03T00:00:00"/>
    <s v="Sunday"/>
    <x v="8"/>
    <x v="0"/>
    <x v="2"/>
    <n v="679.11953222249997"/>
    <n v="16"/>
    <n v="196.80535626507199"/>
    <x v="1"/>
  </r>
  <r>
    <s v="9/3/2023"/>
    <d v="2023-09-03T00:00:00"/>
    <s v="Sunday"/>
    <x v="8"/>
    <x v="0"/>
    <x v="3"/>
    <n v="699.68133598467"/>
    <n v="12"/>
    <n v="223.23475479235299"/>
    <x v="2"/>
  </r>
  <r>
    <s v="9/3/2023"/>
    <d v="2023-09-03T00:00:00"/>
    <s v="Sunday"/>
    <x v="8"/>
    <x v="0"/>
    <x v="4"/>
    <n v="914.89459189655395"/>
    <n v="8"/>
    <n v="126.503438030449"/>
    <x v="0"/>
  </r>
  <r>
    <s v="9/4/2023"/>
    <d v="2023-09-04T00:00:00"/>
    <s v="Monday"/>
    <x v="8"/>
    <x v="0"/>
    <x v="0"/>
    <n v="825.46538998238304"/>
    <n v="11"/>
    <n v="256.07393870749502"/>
    <x v="3"/>
  </r>
  <r>
    <s v="9/4/2023"/>
    <d v="2023-09-04T00:00:00"/>
    <s v="Monday"/>
    <x v="8"/>
    <x v="0"/>
    <x v="1"/>
    <n v="647.83616773799997"/>
    <n v="13"/>
    <n v="180.18534381243899"/>
    <x v="1"/>
  </r>
  <r>
    <s v="9/4/2023"/>
    <d v="2023-09-04T00:00:00"/>
    <s v="Monday"/>
    <x v="8"/>
    <x v="0"/>
    <x v="2"/>
    <n v="1222.9936388628701"/>
    <n v="7"/>
    <n v="325.36710236472197"/>
    <x v="0"/>
  </r>
  <r>
    <s v="9/4/2023"/>
    <d v="2023-09-04T00:00:00"/>
    <s v="Monday"/>
    <x v="8"/>
    <x v="0"/>
    <x v="3"/>
    <n v="633.55148182999994"/>
    <n v="12"/>
    <n v="103.28926508455901"/>
    <x v="1"/>
  </r>
  <r>
    <s v="9/4/2023"/>
    <d v="2023-09-04T00:00:00"/>
    <s v="Monday"/>
    <x v="8"/>
    <x v="0"/>
    <x v="4"/>
    <n v="838.98366975910005"/>
    <n v="7"/>
    <n v="280.27386692586401"/>
    <x v="3"/>
  </r>
  <r>
    <s v="9/5/2023"/>
    <d v="2023-09-05T00:00:00"/>
    <s v="Tuesday"/>
    <x v="8"/>
    <x v="0"/>
    <x v="0"/>
    <n v="1214.8332942432"/>
    <n v="6"/>
    <n v="241.95626594511501"/>
    <x v="0"/>
  </r>
  <r>
    <s v="9/5/2023"/>
    <d v="2023-09-05T00:00:00"/>
    <s v="Tuesday"/>
    <x v="8"/>
    <x v="0"/>
    <x v="1"/>
    <n v="1412.9489355860001"/>
    <n v="8"/>
    <n v="399.91029510450699"/>
    <x v="0"/>
  </r>
  <r>
    <s v="9/5/2023"/>
    <d v="2023-09-05T00:00:00"/>
    <s v="Tuesday"/>
    <x v="8"/>
    <x v="0"/>
    <x v="2"/>
    <n v="193.939642394"/>
    <n v="17"/>
    <n v="153.10192626261099"/>
    <x v="0"/>
  </r>
  <r>
    <s v="9/5/2023"/>
    <d v="2023-09-05T00:00:00"/>
    <s v="Tuesday"/>
    <x v="8"/>
    <x v="0"/>
    <x v="3"/>
    <n v="721.48849953334002"/>
    <n v="18"/>
    <n v="162.085435213594"/>
    <x v="1"/>
  </r>
  <r>
    <s v="9/5/2023"/>
    <d v="2023-09-05T00:00:00"/>
    <s v="Tuesday"/>
    <x v="8"/>
    <x v="0"/>
    <x v="4"/>
    <n v="117.32712312581999"/>
    <n v="6"/>
    <n v="149.09106277203199"/>
    <x v="1"/>
  </r>
  <r>
    <s v="9/6/2023"/>
    <d v="2023-09-06T00:00:00"/>
    <s v="Wednesday"/>
    <x v="8"/>
    <x v="0"/>
    <x v="0"/>
    <n v="1192.1628852243"/>
    <n v="3"/>
    <n v="140.99779525022601"/>
    <x v="1"/>
  </r>
  <r>
    <s v="9/6/2023"/>
    <d v="2023-09-06T00:00:00"/>
    <s v="Wednesday"/>
    <x v="8"/>
    <x v="0"/>
    <x v="1"/>
    <n v="136.92346496850001"/>
    <n v="18"/>
    <n v="325.93016874704699"/>
    <x v="3"/>
  </r>
  <r>
    <s v="9/6/2023"/>
    <d v="2023-09-06T00:00:00"/>
    <s v="Wednesday"/>
    <x v="8"/>
    <x v="0"/>
    <x v="2"/>
    <n v="1173.8256948696901"/>
    <n v="1"/>
    <n v="186.507158229743"/>
    <x v="0"/>
  </r>
  <r>
    <s v="9/6/2023"/>
    <d v="2023-09-06T00:00:00"/>
    <s v="Wednesday"/>
    <x v="8"/>
    <x v="0"/>
    <x v="3"/>
    <n v="246.749499579564"/>
    <n v="17"/>
    <n v="88.459563689392297"/>
    <x v="1"/>
  </r>
  <r>
    <s v="9/6/2023"/>
    <d v="2023-09-06T00:00:00"/>
    <s v="Wednesday"/>
    <x v="8"/>
    <x v="0"/>
    <x v="4"/>
    <n v="487.54447925220001"/>
    <n v="19"/>
    <n v="166.99298648597801"/>
    <x v="0"/>
  </r>
  <r>
    <s v="9/7/2023"/>
    <d v="2023-09-07T00:00:00"/>
    <s v="Thursday"/>
    <x v="8"/>
    <x v="0"/>
    <x v="0"/>
    <n v="1245.4518419230001"/>
    <n v="16"/>
    <n v="235.04698782346"/>
    <x v="0"/>
  </r>
  <r>
    <s v="9/7/2023"/>
    <d v="2023-09-07T00:00:00"/>
    <s v="Thursday"/>
    <x v="8"/>
    <x v="0"/>
    <x v="1"/>
    <n v="618.98167338638996"/>
    <n v="2"/>
    <n v="95.540783961535496"/>
    <x v="3"/>
  </r>
  <r>
    <s v="9/7/2023"/>
    <d v="2023-09-07T00:00:00"/>
    <s v="Thursday"/>
    <x v="8"/>
    <x v="0"/>
    <x v="2"/>
    <n v="186.867562951"/>
    <n v="18"/>
    <n v="208.446804067941"/>
    <x v="0"/>
  </r>
  <r>
    <s v="9/7/2023"/>
    <d v="2023-09-07T00:00:00"/>
    <s v="Thursday"/>
    <x v="8"/>
    <x v="0"/>
    <x v="3"/>
    <n v="148.58425195371001"/>
    <n v="6"/>
    <n v="421.41311967371303"/>
    <x v="3"/>
  </r>
  <r>
    <s v="9/7/2023"/>
    <d v="2023-09-07T00:00:00"/>
    <s v="Thursday"/>
    <x v="8"/>
    <x v="0"/>
    <x v="4"/>
    <n v="154.14868912438999"/>
    <n v="11"/>
    <n v="190.02883741991101"/>
    <x v="2"/>
  </r>
  <r>
    <s v="9/8/2023"/>
    <d v="2023-09-08T00:00:00"/>
    <s v="Friday"/>
    <x v="8"/>
    <x v="0"/>
    <x v="0"/>
    <n v="1224.3163453949001"/>
    <n v="18"/>
    <n v="226.47949579249101"/>
    <x v="3"/>
  </r>
  <r>
    <s v="9/8/2023"/>
    <d v="2023-09-08T00:00:00"/>
    <s v="Friday"/>
    <x v="8"/>
    <x v="0"/>
    <x v="1"/>
    <n v="1284.6127524791"/>
    <n v="9"/>
    <n v="361.55641789999999"/>
    <x v="3"/>
  </r>
  <r>
    <s v="9/8/2023"/>
    <d v="2023-09-08T00:00:00"/>
    <s v="Friday"/>
    <x v="8"/>
    <x v="0"/>
    <x v="2"/>
    <n v="141.76131269410001"/>
    <n v="9"/>
    <n v="263.48699055022598"/>
    <x v="0"/>
  </r>
  <r>
    <s v="9/8/2023"/>
    <d v="2023-09-08T00:00:00"/>
    <s v="Friday"/>
    <x v="8"/>
    <x v="0"/>
    <x v="3"/>
    <n v="1354.76971811826"/>
    <n v="16"/>
    <n v="270.72940502297598"/>
    <x v="0"/>
  </r>
  <r>
    <s v="9/8/2023"/>
    <d v="2023-09-08T00:00:00"/>
    <s v="Friday"/>
    <x v="8"/>
    <x v="0"/>
    <x v="4"/>
    <n v="967.79356278579496"/>
    <n v="15"/>
    <n v="289.28139419311702"/>
    <x v="2"/>
  </r>
  <r>
    <s v="9/9/2023"/>
    <d v="2023-09-09T00:00:00"/>
    <s v="Saturday"/>
    <x v="8"/>
    <x v="0"/>
    <x v="0"/>
    <n v="1299.8257983369999"/>
    <n v="13"/>
    <n v="137.37028769691099"/>
    <x v="0"/>
  </r>
  <r>
    <s v="9/9/2023"/>
    <d v="2023-09-09T00:00:00"/>
    <s v="Saturday"/>
    <x v="8"/>
    <x v="0"/>
    <x v="1"/>
    <n v="77.986348591888998"/>
    <n v="8"/>
    <n v="206.41103786923199"/>
    <x v="1"/>
  </r>
  <r>
    <s v="9/9/2023"/>
    <d v="2023-09-09T00:00:00"/>
    <s v="Saturday"/>
    <x v="8"/>
    <x v="0"/>
    <x v="2"/>
    <n v="132.1494194"/>
    <n v="14"/>
    <n v="152.52636304369099"/>
    <x v="2"/>
  </r>
  <r>
    <s v="9/9/2023"/>
    <d v="2023-09-09T00:00:00"/>
    <s v="Saturday"/>
    <x v="8"/>
    <x v="0"/>
    <x v="3"/>
    <n v="752.81935398400003"/>
    <n v="10"/>
    <n v="269.30872288889799"/>
    <x v="3"/>
  </r>
  <r>
    <s v="9/9/2023"/>
    <d v="2023-09-09T00:00:00"/>
    <s v="Saturday"/>
    <x v="8"/>
    <x v="0"/>
    <x v="4"/>
    <n v="784.267164565244"/>
    <n v="13"/>
    <n v="237.215690079615"/>
    <x v="2"/>
  </r>
  <r>
    <s v="9/10/2023"/>
    <d v="2023-09-10T00:00:00"/>
    <s v="Sunday"/>
    <x v="8"/>
    <x v="0"/>
    <x v="0"/>
    <n v="163.61239288179999"/>
    <n v="7"/>
    <n v="630.16800081592498"/>
    <x v="1"/>
  </r>
  <r>
    <s v="9/10/2023"/>
    <d v="2023-09-10T00:00:00"/>
    <s v="Sunday"/>
    <x v="8"/>
    <x v="0"/>
    <x v="1"/>
    <n v="14.851864919440001"/>
    <n v="14"/>
    <n v="220.85225818309101"/>
    <x v="0"/>
  </r>
  <r>
    <s v="9/10/2023"/>
    <d v="2023-09-10T00:00:00"/>
    <s v="Sunday"/>
    <x v="8"/>
    <x v="0"/>
    <x v="2"/>
    <n v="1228.355128769"/>
    <n v="18"/>
    <n v="243.847874119159"/>
    <x v="1"/>
  </r>
  <r>
    <s v="9/10/2023"/>
    <d v="2023-09-10T00:00:00"/>
    <s v="Sunday"/>
    <x v="8"/>
    <x v="0"/>
    <x v="3"/>
    <n v="1316.3236336658199"/>
    <n v="17"/>
    <n v="203.6845127"/>
    <x v="0"/>
  </r>
  <r>
    <s v="9/10/2023"/>
    <d v="2023-09-10T00:00:00"/>
    <s v="Sunday"/>
    <x v="8"/>
    <x v="0"/>
    <x v="4"/>
    <n v="1159.3289868538"/>
    <n v="10"/>
    <n v="368.47344591659697"/>
    <x v="1"/>
  </r>
  <r>
    <s v="9/11/2023"/>
    <d v="2023-09-11T00:00:00"/>
    <s v="Monday"/>
    <x v="8"/>
    <x v="0"/>
    <x v="0"/>
    <n v="1486.7495227300001"/>
    <n v="3"/>
    <n v="339.33564462374198"/>
    <x v="2"/>
  </r>
  <r>
    <s v="9/11/2023"/>
    <d v="2023-09-11T00:00:00"/>
    <s v="Monday"/>
    <x v="8"/>
    <x v="0"/>
    <x v="1"/>
    <n v="131.459157323"/>
    <n v="19"/>
    <n v="336.81703726161101"/>
    <x v="2"/>
  </r>
  <r>
    <s v="9/11/2023"/>
    <d v="2023-09-11T00:00:00"/>
    <s v="Monday"/>
    <x v="8"/>
    <x v="0"/>
    <x v="2"/>
    <n v="573.94131481547402"/>
    <n v="16"/>
    <n v="197.21959901990601"/>
    <x v="0"/>
  </r>
  <r>
    <s v="9/11/2023"/>
    <d v="2023-09-11T00:00:00"/>
    <s v="Monday"/>
    <x v="8"/>
    <x v="0"/>
    <x v="3"/>
    <n v="142.42959261211001"/>
    <n v="3"/>
    <n v="496.23184882315797"/>
    <x v="0"/>
  </r>
  <r>
    <s v="9/11/2023"/>
    <d v="2023-09-11T00:00:00"/>
    <s v="Monday"/>
    <x v="8"/>
    <x v="0"/>
    <x v="4"/>
    <n v="792.17354269586997"/>
    <n v="19"/>
    <n v="306.48209255646401"/>
    <x v="1"/>
  </r>
  <r>
    <s v="9/12/2023"/>
    <d v="2023-09-12T00:00:00"/>
    <s v="Tuesday"/>
    <x v="8"/>
    <x v="0"/>
    <x v="0"/>
    <n v="919.86299217791998"/>
    <n v="19"/>
    <n v="160.572918347034"/>
    <x v="3"/>
  </r>
  <r>
    <s v="9/12/2023"/>
    <d v="2023-09-12T00:00:00"/>
    <s v="Tuesday"/>
    <x v="8"/>
    <x v="0"/>
    <x v="1"/>
    <n v="1138.945822723"/>
    <n v="16"/>
    <n v="390.25559537766497"/>
    <x v="2"/>
  </r>
  <r>
    <s v="9/12/2023"/>
    <d v="2023-09-12T00:00:00"/>
    <s v="Tuesday"/>
    <x v="8"/>
    <x v="0"/>
    <x v="2"/>
    <n v="1234.378176214"/>
    <n v="7"/>
    <n v="440.76039464250999"/>
    <x v="2"/>
  </r>
  <r>
    <s v="9/12/2023"/>
    <d v="2023-09-12T00:00:00"/>
    <s v="Tuesday"/>
    <x v="8"/>
    <x v="0"/>
    <x v="3"/>
    <n v="125.217537518"/>
    <n v="4"/>
    <n v="147.64007384427501"/>
    <x v="3"/>
  </r>
  <r>
    <s v="9/12/2023"/>
    <d v="2023-09-12T00:00:00"/>
    <s v="Tuesday"/>
    <x v="8"/>
    <x v="0"/>
    <x v="4"/>
    <n v="881.71812294469999"/>
    <n v="14"/>
    <n v="258.97126291287799"/>
    <x v="2"/>
  </r>
  <r>
    <s v="9/13/2023"/>
    <d v="2023-09-13T00:00:00"/>
    <s v="Wednesday"/>
    <x v="8"/>
    <x v="0"/>
    <x v="0"/>
    <n v="954.44399148252"/>
    <n v="19"/>
    <n v="183.07586282335299"/>
    <x v="3"/>
  </r>
  <r>
    <s v="9/13/2023"/>
    <d v="2023-09-13T00:00:00"/>
    <s v="Wednesday"/>
    <x v="8"/>
    <x v="0"/>
    <x v="1"/>
    <n v="1112.4567913410001"/>
    <n v="14"/>
    <n v="259.78968340987097"/>
    <x v="3"/>
  </r>
  <r>
    <s v="9/13/2023"/>
    <d v="2023-09-13T00:00:00"/>
    <s v="Wednesday"/>
    <x v="8"/>
    <x v="0"/>
    <x v="2"/>
    <n v="193.71346313997"/>
    <n v="7"/>
    <n v="356.055731531996"/>
    <x v="3"/>
  </r>
  <r>
    <s v="9/13/2023"/>
    <d v="2023-09-13T00:00:00"/>
    <s v="Wednesday"/>
    <x v="8"/>
    <x v="0"/>
    <x v="3"/>
    <n v="882.2372325"/>
    <n v="7"/>
    <n v="123.07745002750001"/>
    <x v="0"/>
  </r>
  <r>
    <s v="9/13/2023"/>
    <d v="2023-09-13T00:00:00"/>
    <s v="Wednesday"/>
    <x v="8"/>
    <x v="0"/>
    <x v="4"/>
    <n v="127.63585152653999"/>
    <n v="8"/>
    <n v="366.29645019890103"/>
    <x v="3"/>
  </r>
  <r>
    <s v="9/14/2023"/>
    <d v="2023-09-14T00:00:00"/>
    <s v="Thursday"/>
    <x v="8"/>
    <x v="0"/>
    <x v="0"/>
    <n v="1442.213984383"/>
    <n v="13"/>
    <n v="167.42725184880601"/>
    <x v="1"/>
  </r>
  <r>
    <s v="9/14/2023"/>
    <d v="2023-09-14T00:00:00"/>
    <s v="Thursday"/>
    <x v="8"/>
    <x v="0"/>
    <x v="1"/>
    <n v="1399.476497463"/>
    <n v="1"/>
    <n v="339.57275503726999"/>
    <x v="2"/>
  </r>
  <r>
    <s v="9/14/2023"/>
    <d v="2023-09-14T00:00:00"/>
    <s v="Thursday"/>
    <x v="8"/>
    <x v="0"/>
    <x v="2"/>
    <n v="1161.7432353854001"/>
    <n v="1"/>
    <n v="182.113403130346"/>
    <x v="3"/>
  </r>
  <r>
    <s v="9/14/2023"/>
    <d v="2023-09-14T00:00:00"/>
    <s v="Thursday"/>
    <x v="8"/>
    <x v="0"/>
    <x v="3"/>
    <n v="1293.519813393"/>
    <n v="5"/>
    <n v="327.69042936134599"/>
    <x v="1"/>
  </r>
  <r>
    <s v="9/14/2023"/>
    <d v="2023-09-14T00:00:00"/>
    <s v="Thursday"/>
    <x v="8"/>
    <x v="0"/>
    <x v="4"/>
    <n v="1435.9846918757401"/>
    <n v="16"/>
    <n v="500.97027738909202"/>
    <x v="3"/>
  </r>
  <r>
    <s v="9/15/2023"/>
    <d v="2023-09-15T00:00:00"/>
    <s v="Friday"/>
    <x v="8"/>
    <x v="0"/>
    <x v="0"/>
    <n v="966.89679189000003"/>
    <n v="15"/>
    <n v="127.155975262377"/>
    <x v="3"/>
  </r>
  <r>
    <s v="9/15/2023"/>
    <d v="2023-09-15T00:00:00"/>
    <s v="Friday"/>
    <x v="8"/>
    <x v="0"/>
    <x v="1"/>
    <n v="1555.5645675815999"/>
    <n v="17"/>
    <n v="297.53681576125598"/>
    <x v="3"/>
  </r>
  <r>
    <s v="9/15/2023"/>
    <d v="2023-09-15T00:00:00"/>
    <s v="Friday"/>
    <x v="8"/>
    <x v="0"/>
    <x v="2"/>
    <n v="915.67978617589995"/>
    <n v="18"/>
    <n v="203.58619237946499"/>
    <x v="2"/>
  </r>
  <r>
    <s v="9/15/2023"/>
    <d v="2023-09-15T00:00:00"/>
    <s v="Friday"/>
    <x v="8"/>
    <x v="0"/>
    <x v="3"/>
    <n v="845.77584185841999"/>
    <n v="15"/>
    <n v="303.42092526585498"/>
    <x v="1"/>
  </r>
  <r>
    <s v="9/15/2023"/>
    <d v="2023-09-15T00:00:00"/>
    <s v="Friday"/>
    <x v="8"/>
    <x v="0"/>
    <x v="4"/>
    <n v="937.49825378333003"/>
    <n v="8"/>
    <n v="289.27093606460602"/>
    <x v="2"/>
  </r>
  <r>
    <s v="9/16/2023"/>
    <d v="2023-09-16T00:00:00"/>
    <s v="Saturday"/>
    <x v="8"/>
    <x v="0"/>
    <x v="0"/>
    <n v="957.88748232839896"/>
    <n v="8"/>
    <n v="208.75868309273699"/>
    <x v="3"/>
  </r>
  <r>
    <s v="9/16/2023"/>
    <d v="2023-09-16T00:00:00"/>
    <s v="Saturday"/>
    <x v="8"/>
    <x v="0"/>
    <x v="1"/>
    <n v="192.28384567500001"/>
    <n v="17"/>
    <n v="181.81629840083099"/>
    <x v="2"/>
  </r>
  <r>
    <s v="9/16/2023"/>
    <d v="2023-09-16T00:00:00"/>
    <s v="Saturday"/>
    <x v="8"/>
    <x v="0"/>
    <x v="2"/>
    <n v="569.22714283944094"/>
    <n v="2"/>
    <n v="85.519503857723393"/>
    <x v="1"/>
  </r>
  <r>
    <s v="9/16/2023"/>
    <d v="2023-09-16T00:00:00"/>
    <s v="Saturday"/>
    <x v="8"/>
    <x v="0"/>
    <x v="3"/>
    <n v="65.255255717470007"/>
    <n v="6"/>
    <n v="71.988438299999999"/>
    <x v="1"/>
  </r>
  <r>
    <s v="9/16/2023"/>
    <d v="2023-09-16T00:00:00"/>
    <s v="Saturday"/>
    <x v="8"/>
    <x v="0"/>
    <x v="4"/>
    <n v="945.56527922574401"/>
    <n v="14"/>
    <n v="341.11499794347799"/>
    <x v="2"/>
  </r>
  <r>
    <s v="9/17/2023"/>
    <d v="2023-09-17T00:00:00"/>
    <s v="Sunday"/>
    <x v="8"/>
    <x v="0"/>
    <x v="0"/>
    <n v="968.98899246500002"/>
    <n v="3"/>
    <n v="356.76088385114201"/>
    <x v="2"/>
  </r>
  <r>
    <s v="9/17/2023"/>
    <d v="2023-09-17T00:00:00"/>
    <s v="Sunday"/>
    <x v="8"/>
    <x v="0"/>
    <x v="1"/>
    <n v="71.378919925749997"/>
    <n v="17"/>
    <n v="128.395119888708"/>
    <x v="1"/>
  </r>
  <r>
    <s v="9/17/2023"/>
    <d v="2023-09-17T00:00:00"/>
    <s v="Sunday"/>
    <x v="8"/>
    <x v="0"/>
    <x v="2"/>
    <n v="1548.1784514870999"/>
    <n v="2"/>
    <n v="587.14237765624296"/>
    <x v="1"/>
  </r>
  <r>
    <s v="9/17/2023"/>
    <d v="2023-09-17T00:00:00"/>
    <s v="Sunday"/>
    <x v="8"/>
    <x v="0"/>
    <x v="3"/>
    <n v="1268.976596278"/>
    <n v="7"/>
    <n v="448.83201812425602"/>
    <x v="0"/>
  </r>
  <r>
    <s v="9/17/2023"/>
    <d v="2023-09-17T00:00:00"/>
    <s v="Sunday"/>
    <x v="8"/>
    <x v="0"/>
    <x v="4"/>
    <n v="498.32567629840003"/>
    <n v="16"/>
    <n v="106.1056103"/>
    <x v="0"/>
  </r>
  <r>
    <s v="9/18/2023"/>
    <d v="2023-09-18T00:00:00"/>
    <s v="Monday"/>
    <x v="8"/>
    <x v="0"/>
    <x v="0"/>
    <n v="888.82517127976496"/>
    <n v="2"/>
    <n v="88.943056312944904"/>
    <x v="3"/>
  </r>
  <r>
    <s v="9/18/2023"/>
    <d v="2023-09-18T00:00:00"/>
    <s v="Monday"/>
    <x v="8"/>
    <x v="0"/>
    <x v="1"/>
    <n v="595.58586641794898"/>
    <n v="2"/>
    <n v="89.542987045420304"/>
    <x v="2"/>
  </r>
  <r>
    <s v="9/18/2023"/>
    <d v="2023-09-18T00:00:00"/>
    <s v="Monday"/>
    <x v="8"/>
    <x v="0"/>
    <x v="2"/>
    <n v="1178.4335787473699"/>
    <n v="7"/>
    <n v="446.20490459948002"/>
    <x v="0"/>
  </r>
  <r>
    <s v="9/18/2023"/>
    <d v="2023-09-18T00:00:00"/>
    <s v="Monday"/>
    <x v="8"/>
    <x v="0"/>
    <x v="3"/>
    <n v="111.448585163"/>
    <n v="1"/>
    <n v="150.73472530808601"/>
    <x v="3"/>
  </r>
  <r>
    <s v="9/18/2023"/>
    <d v="2023-09-18T00:00:00"/>
    <s v="Monday"/>
    <x v="8"/>
    <x v="0"/>
    <x v="4"/>
    <n v="974.85439358148005"/>
    <n v="1"/>
    <n v="307.66364179999999"/>
    <x v="0"/>
  </r>
  <r>
    <s v="9/19/2023"/>
    <d v="2023-09-19T00:00:00"/>
    <s v="Tuesday"/>
    <x v="8"/>
    <x v="0"/>
    <x v="0"/>
    <n v="984.78723443540002"/>
    <n v="4"/>
    <n v="369.64211876929198"/>
    <x v="2"/>
  </r>
  <r>
    <s v="9/19/2023"/>
    <d v="2023-09-19T00:00:00"/>
    <s v="Tuesday"/>
    <x v="8"/>
    <x v="0"/>
    <x v="1"/>
    <n v="1375.8527932823999"/>
    <n v="13"/>
    <n v="442.64957760982702"/>
    <x v="1"/>
  </r>
  <r>
    <s v="9/19/2023"/>
    <d v="2023-09-19T00:00:00"/>
    <s v="Tuesday"/>
    <x v="8"/>
    <x v="0"/>
    <x v="2"/>
    <n v="865.53261519955004"/>
    <n v="7"/>
    <n v="298.19470755132397"/>
    <x v="0"/>
  </r>
  <r>
    <s v="9/19/2023"/>
    <d v="2023-09-19T00:00:00"/>
    <s v="Tuesday"/>
    <x v="8"/>
    <x v="0"/>
    <x v="3"/>
    <n v="183.27538589400001"/>
    <n v="18"/>
    <n v="429.02469221331597"/>
    <x v="3"/>
  </r>
  <r>
    <s v="9/19/2023"/>
    <d v="2023-09-19T00:00:00"/>
    <s v="Tuesday"/>
    <x v="8"/>
    <x v="0"/>
    <x v="4"/>
    <n v="993.31636200000003"/>
    <n v="6"/>
    <n v="173.414616334046"/>
    <x v="0"/>
  </r>
  <r>
    <s v="9/20/2023"/>
    <d v="2023-09-20T00:00:00"/>
    <s v="Wednesday"/>
    <x v="8"/>
    <x v="0"/>
    <x v="0"/>
    <n v="927.93164118264997"/>
    <n v="18"/>
    <n v="119.898110446499"/>
    <x v="0"/>
  </r>
  <r>
    <s v="9/20/2023"/>
    <d v="2023-09-20T00:00:00"/>
    <s v="Wednesday"/>
    <x v="8"/>
    <x v="0"/>
    <x v="1"/>
    <n v="1274.8153969354901"/>
    <n v="14"/>
    <n v="455.91022760936499"/>
    <x v="1"/>
  </r>
  <r>
    <s v="9/20/2023"/>
    <d v="2023-09-20T00:00:00"/>
    <s v="Wednesday"/>
    <x v="8"/>
    <x v="0"/>
    <x v="2"/>
    <n v="573.65457956313003"/>
    <n v="19"/>
    <n v="60.510476167528502"/>
    <x v="3"/>
  </r>
  <r>
    <s v="9/20/2023"/>
    <d v="2023-09-20T00:00:00"/>
    <s v="Wednesday"/>
    <x v="8"/>
    <x v="0"/>
    <x v="3"/>
    <n v="844.85887586537103"/>
    <n v="6"/>
    <n v="335.88780490789799"/>
    <x v="2"/>
  </r>
  <r>
    <s v="9/20/2023"/>
    <d v="2023-09-20T00:00:00"/>
    <s v="Wednesday"/>
    <x v="8"/>
    <x v="0"/>
    <x v="4"/>
    <n v="765.39895224668805"/>
    <n v="15"/>
    <n v="119.00123580381801"/>
    <x v="2"/>
  </r>
  <r>
    <s v="9/21/2023"/>
    <d v="2023-09-21T00:00:00"/>
    <s v="Thursday"/>
    <x v="8"/>
    <x v="0"/>
    <x v="0"/>
    <n v="772.89647559130003"/>
    <n v="3"/>
    <n v="161.352592562458"/>
    <x v="0"/>
  </r>
  <r>
    <s v="9/21/2023"/>
    <d v="2023-09-21T00:00:00"/>
    <s v="Thursday"/>
    <x v="8"/>
    <x v="0"/>
    <x v="1"/>
    <n v="377.32359727644001"/>
    <n v="2"/>
    <n v="132.81765274825901"/>
    <x v="2"/>
  </r>
  <r>
    <s v="9/21/2023"/>
    <d v="2023-09-21T00:00:00"/>
    <s v="Thursday"/>
    <x v="8"/>
    <x v="0"/>
    <x v="2"/>
    <n v="974.17992162732003"/>
    <n v="16"/>
    <n v="304.59631745121499"/>
    <x v="2"/>
  </r>
  <r>
    <s v="9/21/2023"/>
    <d v="2023-09-21T00:00:00"/>
    <s v="Thursday"/>
    <x v="8"/>
    <x v="0"/>
    <x v="3"/>
    <n v="687.22669159882696"/>
    <n v="15"/>
    <n v="230.18550090833099"/>
    <x v="2"/>
  </r>
  <r>
    <s v="9/21/2023"/>
    <d v="2023-09-21T00:00:00"/>
    <s v="Thursday"/>
    <x v="8"/>
    <x v="0"/>
    <x v="4"/>
    <n v="648.32987400000002"/>
    <n v="3"/>
    <n v="188.32167369999999"/>
    <x v="1"/>
  </r>
  <r>
    <s v="9/22/2023"/>
    <d v="2023-09-22T00:00:00"/>
    <s v="Friday"/>
    <x v="8"/>
    <x v="0"/>
    <x v="0"/>
    <n v="972.29759112444003"/>
    <n v="16"/>
    <n v="146.46982770374001"/>
    <x v="0"/>
  </r>
  <r>
    <s v="9/22/2023"/>
    <d v="2023-09-22T00:00:00"/>
    <s v="Friday"/>
    <x v="8"/>
    <x v="0"/>
    <x v="1"/>
    <n v="612.76334154821996"/>
    <n v="8"/>
    <n v="100.300591672208"/>
    <x v="3"/>
  </r>
  <r>
    <s v="9/22/2023"/>
    <d v="2023-09-22T00:00:00"/>
    <s v="Friday"/>
    <x v="8"/>
    <x v="0"/>
    <x v="2"/>
    <n v="95.699438234382001"/>
    <n v="7"/>
    <n v="238.73252801387"/>
    <x v="2"/>
  </r>
  <r>
    <s v="9/22/2023"/>
    <d v="2023-09-22T00:00:00"/>
    <s v="Friday"/>
    <x v="8"/>
    <x v="0"/>
    <x v="3"/>
    <n v="163.62859222500001"/>
    <n v="14"/>
    <n v="410.29986067813297"/>
    <x v="2"/>
  </r>
  <r>
    <s v="9/22/2023"/>
    <d v="2023-09-22T00:00:00"/>
    <s v="Friday"/>
    <x v="8"/>
    <x v="0"/>
    <x v="4"/>
    <n v="634.81519233385598"/>
    <n v="19"/>
    <n v="196.970844800636"/>
    <x v="2"/>
  </r>
  <r>
    <s v="9/23/2023"/>
    <d v="2023-09-23T00:00:00"/>
    <s v="Saturday"/>
    <x v="8"/>
    <x v="0"/>
    <x v="0"/>
    <n v="147.83875241230001"/>
    <n v="17"/>
    <n v="263.01123525423901"/>
    <x v="2"/>
  </r>
  <r>
    <s v="9/23/2023"/>
    <d v="2023-09-23T00:00:00"/>
    <s v="Saturday"/>
    <x v="8"/>
    <x v="0"/>
    <x v="1"/>
    <n v="696.81364876317798"/>
    <n v="1"/>
    <n v="102.244845101699"/>
    <x v="0"/>
  </r>
  <r>
    <s v="9/23/2023"/>
    <d v="2023-09-23T00:00:00"/>
    <s v="Saturday"/>
    <x v="8"/>
    <x v="0"/>
    <x v="2"/>
    <n v="1528.2968755676"/>
    <n v="6"/>
    <n v="516.47044750449299"/>
    <x v="2"/>
  </r>
  <r>
    <s v="9/23/2023"/>
    <d v="2023-09-23T00:00:00"/>
    <s v="Saturday"/>
    <x v="8"/>
    <x v="0"/>
    <x v="3"/>
    <n v="848.94875143381"/>
    <n v="13"/>
    <n v="328.28410175666198"/>
    <x v="3"/>
  </r>
  <r>
    <s v="9/23/2023"/>
    <d v="2023-09-23T00:00:00"/>
    <s v="Saturday"/>
    <x v="8"/>
    <x v="0"/>
    <x v="4"/>
    <n v="971.61286225212996"/>
    <n v="1"/>
    <n v="109.724272285512"/>
    <x v="0"/>
  </r>
  <r>
    <s v="9/24/2023"/>
    <d v="2023-09-24T00:00:00"/>
    <s v="Sunday"/>
    <x v="8"/>
    <x v="0"/>
    <x v="0"/>
    <n v="11.117617528629999"/>
    <n v="1"/>
    <n v="254.99663242036101"/>
    <x v="2"/>
  </r>
  <r>
    <s v="9/24/2023"/>
    <d v="2023-09-24T00:00:00"/>
    <s v="Sunday"/>
    <x v="8"/>
    <x v="0"/>
    <x v="1"/>
    <n v="1564.9246760000001"/>
    <n v="16"/>
    <n v="520.44756545688404"/>
    <x v="2"/>
  </r>
  <r>
    <s v="9/24/2023"/>
    <d v="2023-09-24T00:00:00"/>
    <s v="Sunday"/>
    <x v="8"/>
    <x v="0"/>
    <x v="2"/>
    <n v="1187.1849825536401"/>
    <n v="2"/>
    <n v="279.08907906888601"/>
    <x v="0"/>
  </r>
  <r>
    <s v="9/24/2023"/>
    <d v="2023-09-24T00:00:00"/>
    <s v="Sunday"/>
    <x v="8"/>
    <x v="0"/>
    <x v="3"/>
    <n v="139.14824569923999"/>
    <n v="7"/>
    <n v="509.128841674775"/>
    <x v="3"/>
  </r>
  <r>
    <s v="9/24/2023"/>
    <d v="2023-09-24T00:00:00"/>
    <s v="Sunday"/>
    <x v="8"/>
    <x v="0"/>
    <x v="4"/>
    <n v="1141.3219842833"/>
    <n v="9"/>
    <n v="228.762826510369"/>
    <x v="2"/>
  </r>
  <r>
    <s v="9/25/2023"/>
    <d v="2023-09-25T00:00:00"/>
    <s v="Monday"/>
    <x v="8"/>
    <x v="0"/>
    <x v="0"/>
    <n v="165.53931936000001"/>
    <n v="6"/>
    <n v="220.33271496811"/>
    <x v="1"/>
  </r>
  <r>
    <s v="9/25/2023"/>
    <d v="2023-09-25T00:00:00"/>
    <s v="Monday"/>
    <x v="8"/>
    <x v="0"/>
    <x v="1"/>
    <n v="1161.2884434760001"/>
    <n v="17"/>
    <n v="264.52233751024499"/>
    <x v="1"/>
  </r>
  <r>
    <s v="9/25/2023"/>
    <d v="2023-09-25T00:00:00"/>
    <s v="Monday"/>
    <x v="8"/>
    <x v="0"/>
    <x v="2"/>
    <n v="1277.3235618249"/>
    <n v="15"/>
    <n v="242.652138625916"/>
    <x v="3"/>
  </r>
  <r>
    <s v="9/25/2023"/>
    <d v="2023-09-25T00:00:00"/>
    <s v="Monday"/>
    <x v="8"/>
    <x v="0"/>
    <x v="3"/>
    <n v="141.46513933132999"/>
    <n v="15"/>
    <n v="341.385249599573"/>
    <x v="3"/>
  </r>
  <r>
    <s v="9/25/2023"/>
    <d v="2023-09-25T00:00:00"/>
    <s v="Monday"/>
    <x v="8"/>
    <x v="0"/>
    <x v="4"/>
    <n v="127.51632421230001"/>
    <n v="17"/>
    <n v="190.72479142268099"/>
    <x v="1"/>
  </r>
  <r>
    <s v="9/26/2023"/>
    <d v="2023-09-26T00:00:00"/>
    <s v="Tuesday"/>
    <x v="8"/>
    <x v="0"/>
    <x v="0"/>
    <n v="842.61277879959005"/>
    <n v="4"/>
    <n v="215.02177251813399"/>
    <x v="0"/>
  </r>
  <r>
    <s v="9/26/2023"/>
    <d v="2023-09-26T00:00:00"/>
    <s v="Tuesday"/>
    <x v="8"/>
    <x v="0"/>
    <x v="1"/>
    <n v="1148.9645429294001"/>
    <n v="15"/>
    <n v="183.47000032164101"/>
    <x v="3"/>
  </r>
  <r>
    <s v="9/26/2023"/>
    <d v="2023-09-26T00:00:00"/>
    <s v="Tuesday"/>
    <x v="8"/>
    <x v="0"/>
    <x v="2"/>
    <n v="89.348218944199999"/>
    <n v="5"/>
    <n v="185.297679390225"/>
    <x v="0"/>
  </r>
  <r>
    <s v="9/26/2023"/>
    <d v="2023-09-26T00:00:00"/>
    <s v="Tuesday"/>
    <x v="8"/>
    <x v="0"/>
    <x v="3"/>
    <n v="954.61233932430002"/>
    <n v="6"/>
    <n v="153.35318897801201"/>
    <x v="3"/>
  </r>
  <r>
    <s v="9/26/2023"/>
    <d v="2023-09-26T00:00:00"/>
    <s v="Tuesday"/>
    <x v="8"/>
    <x v="0"/>
    <x v="4"/>
    <n v="864.41518842643598"/>
    <n v="17"/>
    <n v="146.50083323184299"/>
    <x v="0"/>
  </r>
  <r>
    <s v="9/27/2023"/>
    <d v="2023-09-27T00:00:00"/>
    <s v="Wednesday"/>
    <x v="8"/>
    <x v="0"/>
    <x v="0"/>
    <n v="763.19844828497003"/>
    <n v="2"/>
    <n v="167.27893631422199"/>
    <x v="3"/>
  </r>
  <r>
    <s v="9/27/2023"/>
    <d v="2023-09-27T00:00:00"/>
    <s v="Wednesday"/>
    <x v="8"/>
    <x v="0"/>
    <x v="1"/>
    <n v="888.44263531640001"/>
    <n v="17"/>
    <n v="118.559388088285"/>
    <x v="2"/>
  </r>
  <r>
    <s v="9/27/2023"/>
    <d v="2023-09-27T00:00:00"/>
    <s v="Wednesday"/>
    <x v="8"/>
    <x v="0"/>
    <x v="2"/>
    <n v="781.46151349589695"/>
    <n v="16"/>
    <n v="214.48716436813399"/>
    <x v="2"/>
  </r>
  <r>
    <s v="9/27/2023"/>
    <d v="2023-09-27T00:00:00"/>
    <s v="Wednesday"/>
    <x v="8"/>
    <x v="0"/>
    <x v="3"/>
    <n v="195.85741234880001"/>
    <n v="10"/>
    <n v="285.32594313672303"/>
    <x v="2"/>
  </r>
  <r>
    <s v="9/27/2023"/>
    <d v="2023-09-27T00:00:00"/>
    <s v="Wednesday"/>
    <x v="8"/>
    <x v="0"/>
    <x v="4"/>
    <n v="1496.8518547680001"/>
    <n v="10"/>
    <n v="224.216503595983"/>
    <x v="0"/>
  </r>
  <r>
    <s v="9/28/2023"/>
    <d v="2023-09-28T00:00:00"/>
    <s v="Thursday"/>
    <x v="8"/>
    <x v="0"/>
    <x v="0"/>
    <n v="612.78474463476005"/>
    <n v="14"/>
    <n v="200.96097822537101"/>
    <x v="1"/>
  </r>
  <r>
    <s v="9/28/2023"/>
    <d v="2023-09-28T00:00:00"/>
    <s v="Thursday"/>
    <x v="8"/>
    <x v="0"/>
    <x v="1"/>
    <n v="1128.8576267399999"/>
    <n v="4"/>
    <n v="435.28838225849597"/>
    <x v="3"/>
  </r>
  <r>
    <s v="9/28/2023"/>
    <d v="2023-09-28T00:00:00"/>
    <s v="Thursday"/>
    <x v="8"/>
    <x v="0"/>
    <x v="2"/>
    <n v="151.47488522331"/>
    <n v="12"/>
    <n v="172.49209618596299"/>
    <x v="1"/>
  </r>
  <r>
    <s v="9/28/2023"/>
    <d v="2023-09-28T00:00:00"/>
    <s v="Thursday"/>
    <x v="8"/>
    <x v="0"/>
    <x v="3"/>
    <n v="1527.9915772899999"/>
    <n v="15"/>
    <n v="252.064912096169"/>
    <x v="1"/>
  </r>
  <r>
    <s v="9/28/2023"/>
    <d v="2023-09-28T00:00:00"/>
    <s v="Thursday"/>
    <x v="8"/>
    <x v="0"/>
    <x v="4"/>
    <n v="19.5126752"/>
    <n v="14"/>
    <n v="423.62520770840501"/>
    <x v="2"/>
  </r>
  <r>
    <s v="9/29/2023"/>
    <d v="2023-09-29T00:00:00"/>
    <s v="Friday"/>
    <x v="8"/>
    <x v="0"/>
    <x v="0"/>
    <n v="152.66868873569999"/>
    <n v="3"/>
    <n v="216.31650490000001"/>
    <x v="2"/>
  </r>
  <r>
    <s v="9/29/2023"/>
    <d v="2023-09-29T00:00:00"/>
    <s v="Friday"/>
    <x v="8"/>
    <x v="0"/>
    <x v="1"/>
    <n v="456.76719832190003"/>
    <n v="12"/>
    <n v="156.91649829475901"/>
    <x v="1"/>
  </r>
  <r>
    <s v="9/29/2023"/>
    <d v="2023-09-29T00:00:00"/>
    <s v="Friday"/>
    <x v="8"/>
    <x v="0"/>
    <x v="2"/>
    <n v="1144.9197778390001"/>
    <n v="3"/>
    <n v="263.45536582617302"/>
    <x v="1"/>
  </r>
  <r>
    <s v="9/29/2023"/>
    <d v="2023-09-29T00:00:00"/>
    <s v="Friday"/>
    <x v="8"/>
    <x v="0"/>
    <x v="3"/>
    <n v="1137.9293640000001"/>
    <n v="14"/>
    <n v="366.69815920273999"/>
    <x v="3"/>
  </r>
  <r>
    <s v="9/29/2023"/>
    <d v="2023-09-29T00:00:00"/>
    <s v="Friday"/>
    <x v="8"/>
    <x v="0"/>
    <x v="4"/>
    <n v="1393.8779617593"/>
    <n v="1"/>
    <n v="160.82347121450701"/>
    <x v="2"/>
  </r>
  <r>
    <s v="9/30/2023"/>
    <d v="2023-09-30T00:00:00"/>
    <s v="Saturday"/>
    <x v="8"/>
    <x v="0"/>
    <x v="0"/>
    <n v="952.37748196918801"/>
    <n v="8"/>
    <n v="309.22644010815901"/>
    <x v="3"/>
  </r>
  <r>
    <s v="9/30/2023"/>
    <d v="2023-09-30T00:00:00"/>
    <s v="Saturday"/>
    <x v="8"/>
    <x v="0"/>
    <x v="1"/>
    <n v="814.85944746928305"/>
    <n v="6"/>
    <n v="236.65412277824601"/>
    <x v="3"/>
  </r>
  <r>
    <s v="9/30/2023"/>
    <d v="2023-09-30T00:00:00"/>
    <s v="Saturday"/>
    <x v="8"/>
    <x v="0"/>
    <x v="2"/>
    <n v="657.61287857318302"/>
    <n v="14"/>
    <n v="123.350651984789"/>
    <x v="2"/>
  </r>
  <r>
    <s v="9/30/2023"/>
    <d v="2023-09-30T00:00:00"/>
    <s v="Saturday"/>
    <x v="8"/>
    <x v="0"/>
    <x v="3"/>
    <n v="1197.11826277"/>
    <n v="13"/>
    <n v="256.356318556605"/>
    <x v="1"/>
  </r>
  <r>
    <s v="9/30/2023"/>
    <d v="2023-09-30T00:00:00"/>
    <s v="Saturday"/>
    <x v="8"/>
    <x v="0"/>
    <x v="4"/>
    <n v="973.76941366845006"/>
    <n v="17"/>
    <n v="359.69733413230102"/>
    <x v="3"/>
  </r>
  <r>
    <s v="10/1/2023"/>
    <d v="2023-10-01T00:00:00"/>
    <s v="Sunday"/>
    <x v="9"/>
    <x v="0"/>
    <x v="0"/>
    <n v="1164.49588826634"/>
    <n v="1"/>
    <n v="363.53660425812899"/>
    <x v="3"/>
  </r>
  <r>
    <s v="10/1/2023"/>
    <d v="2023-10-01T00:00:00"/>
    <s v="Sunday"/>
    <x v="9"/>
    <x v="0"/>
    <x v="1"/>
    <n v="1342.84289163326"/>
    <n v="16"/>
    <n v="134.664346709125"/>
    <x v="2"/>
  </r>
  <r>
    <s v="10/1/2023"/>
    <d v="2023-10-01T00:00:00"/>
    <s v="Sunday"/>
    <x v="9"/>
    <x v="0"/>
    <x v="2"/>
    <n v="1371.588497533"/>
    <n v="10"/>
    <n v="539.25690863759405"/>
    <x v="1"/>
  </r>
  <r>
    <s v="10/1/2023"/>
    <d v="2023-10-01T00:00:00"/>
    <s v="Sunday"/>
    <x v="9"/>
    <x v="0"/>
    <x v="3"/>
    <n v="679.23682911650997"/>
    <n v="16"/>
    <n v="180.1323352"/>
    <x v="3"/>
  </r>
  <r>
    <s v="10/1/2023"/>
    <d v="2023-10-01T00:00:00"/>
    <s v="Sunday"/>
    <x v="9"/>
    <x v="0"/>
    <x v="4"/>
    <n v="524.95524518499997"/>
    <n v="14"/>
    <n v="147.01300461597"/>
    <x v="3"/>
  </r>
  <r>
    <s v="10/2/2023"/>
    <d v="2023-10-02T00:00:00"/>
    <s v="Monday"/>
    <x v="9"/>
    <x v="0"/>
    <x v="0"/>
    <n v="1235.4589647763"/>
    <n v="14"/>
    <n v="336.01768225793398"/>
    <x v="2"/>
  </r>
  <r>
    <s v="10/2/2023"/>
    <d v="2023-10-02T00:00:00"/>
    <s v="Monday"/>
    <x v="9"/>
    <x v="0"/>
    <x v="1"/>
    <n v="1132.7872567700001"/>
    <n v="12"/>
    <n v="333.65044160000002"/>
    <x v="2"/>
  </r>
  <r>
    <s v="10/2/2023"/>
    <d v="2023-10-02T00:00:00"/>
    <s v="Monday"/>
    <x v="9"/>
    <x v="0"/>
    <x v="2"/>
    <n v="61.426127000000001"/>
    <n v="18"/>
    <n v="119.294582352921"/>
    <x v="1"/>
  </r>
  <r>
    <s v="10/2/2023"/>
    <d v="2023-10-02T00:00:00"/>
    <s v="Monday"/>
    <x v="9"/>
    <x v="0"/>
    <x v="3"/>
    <n v="996.59644367415001"/>
    <n v="19"/>
    <n v="156.98473398424301"/>
    <x v="3"/>
  </r>
  <r>
    <s v="10/2/2023"/>
    <d v="2023-10-02T00:00:00"/>
    <s v="Monday"/>
    <x v="9"/>
    <x v="0"/>
    <x v="4"/>
    <n v="876.33377649265799"/>
    <n v="11"/>
    <n v="109.786490714401"/>
    <x v="1"/>
  </r>
  <r>
    <s v="10/3/2023"/>
    <d v="2023-10-03T00:00:00"/>
    <s v="Tuesday"/>
    <x v="9"/>
    <x v="0"/>
    <x v="0"/>
    <n v="1274.4211965219999"/>
    <n v="5"/>
    <n v="196.89721630128099"/>
    <x v="3"/>
  </r>
  <r>
    <s v="10/3/2023"/>
    <d v="2023-10-03T00:00:00"/>
    <s v="Tuesday"/>
    <x v="9"/>
    <x v="0"/>
    <x v="1"/>
    <n v="1161.6493668376099"/>
    <n v="5"/>
    <n v="157.67294627998399"/>
    <x v="1"/>
  </r>
  <r>
    <s v="10/3/2023"/>
    <d v="2023-10-03T00:00:00"/>
    <s v="Tuesday"/>
    <x v="9"/>
    <x v="0"/>
    <x v="2"/>
    <n v="122.8236449268"/>
    <n v="6"/>
    <n v="199.63367102143599"/>
    <x v="0"/>
  </r>
  <r>
    <s v="10/3/2023"/>
    <d v="2023-10-03T00:00:00"/>
    <s v="Tuesday"/>
    <x v="9"/>
    <x v="0"/>
    <x v="3"/>
    <n v="124.3556953723"/>
    <n v="6"/>
    <n v="430.41320939691201"/>
    <x v="3"/>
  </r>
  <r>
    <s v="10/3/2023"/>
    <d v="2023-10-03T00:00:00"/>
    <s v="Tuesday"/>
    <x v="9"/>
    <x v="0"/>
    <x v="4"/>
    <n v="115.657812995"/>
    <n v="3"/>
    <n v="220.7786586"/>
    <x v="1"/>
  </r>
  <r>
    <s v="10/4/2023"/>
    <d v="2023-10-04T00:00:00"/>
    <s v="Wednesday"/>
    <x v="9"/>
    <x v="0"/>
    <x v="0"/>
    <n v="199.972195672"/>
    <n v="12"/>
    <n v="140.59231016340601"/>
    <x v="2"/>
  </r>
  <r>
    <s v="10/4/2023"/>
    <d v="2023-10-04T00:00:00"/>
    <s v="Wednesday"/>
    <x v="9"/>
    <x v="0"/>
    <x v="1"/>
    <n v="15.953491746999999"/>
    <n v="9"/>
    <n v="364.14744358112603"/>
    <x v="0"/>
  </r>
  <r>
    <s v="10/4/2023"/>
    <d v="2023-10-04T00:00:00"/>
    <s v="Wednesday"/>
    <x v="9"/>
    <x v="0"/>
    <x v="2"/>
    <n v="889.87887825498001"/>
    <n v="19"/>
    <n v="217.737521674622"/>
    <x v="1"/>
  </r>
  <r>
    <s v="10/4/2023"/>
    <d v="2023-10-04T00:00:00"/>
    <s v="Wednesday"/>
    <x v="9"/>
    <x v="0"/>
    <x v="3"/>
    <n v="788.55334870000002"/>
    <n v="4"/>
    <n v="120.15735842509299"/>
    <x v="2"/>
  </r>
  <r>
    <s v="10/4/2023"/>
    <d v="2023-10-04T00:00:00"/>
    <s v="Wednesday"/>
    <x v="9"/>
    <x v="0"/>
    <x v="4"/>
    <n v="1437.4758266929"/>
    <n v="4"/>
    <n v="395.00800390000001"/>
    <x v="1"/>
  </r>
  <r>
    <s v="10/5/2023"/>
    <d v="2023-10-05T00:00:00"/>
    <s v="Thursday"/>
    <x v="9"/>
    <x v="0"/>
    <x v="0"/>
    <n v="551.14253777198996"/>
    <n v="2"/>
    <n v="75.189017927423393"/>
    <x v="2"/>
  </r>
  <r>
    <s v="10/5/2023"/>
    <d v="2023-10-05T00:00:00"/>
    <s v="Thursday"/>
    <x v="9"/>
    <x v="0"/>
    <x v="1"/>
    <n v="617.65213525292995"/>
    <n v="19"/>
    <n v="152.04347444349901"/>
    <x v="0"/>
  </r>
  <r>
    <s v="10/5/2023"/>
    <d v="2023-10-05T00:00:00"/>
    <s v="Thursday"/>
    <x v="9"/>
    <x v="0"/>
    <x v="2"/>
    <n v="1113.8659138365999"/>
    <n v="12"/>
    <n v="275.053123319912"/>
    <x v="3"/>
  </r>
  <r>
    <s v="10/5/2023"/>
    <d v="2023-10-05T00:00:00"/>
    <s v="Thursday"/>
    <x v="9"/>
    <x v="0"/>
    <x v="3"/>
    <n v="793.42359260000001"/>
    <n v="4"/>
    <n v="126.366014188264"/>
    <x v="3"/>
  </r>
  <r>
    <s v="10/5/2023"/>
    <d v="2023-10-05T00:00:00"/>
    <s v="Thursday"/>
    <x v="9"/>
    <x v="0"/>
    <x v="4"/>
    <n v="874.81236795639904"/>
    <n v="16"/>
    <n v="136.23723009115099"/>
    <x v="0"/>
  </r>
  <r>
    <s v="10/6/2023"/>
    <d v="2023-10-06T00:00:00"/>
    <s v="Friday"/>
    <x v="9"/>
    <x v="0"/>
    <x v="0"/>
    <n v="142.4652337238"/>
    <n v="16"/>
    <n v="241.13789503513499"/>
    <x v="0"/>
  </r>
  <r>
    <s v="10/6/2023"/>
    <d v="2023-10-06T00:00:00"/>
    <s v="Friday"/>
    <x v="9"/>
    <x v="0"/>
    <x v="1"/>
    <n v="273.86529953899998"/>
    <n v="12"/>
    <n v="55.737054196684099"/>
    <x v="1"/>
  </r>
  <r>
    <s v="10/6/2023"/>
    <d v="2023-10-06T00:00:00"/>
    <s v="Friday"/>
    <x v="9"/>
    <x v="0"/>
    <x v="2"/>
    <n v="926.3417212178"/>
    <n v="9"/>
    <n v="183.74576585810999"/>
    <x v="2"/>
  </r>
  <r>
    <s v="10/6/2023"/>
    <d v="2023-10-06T00:00:00"/>
    <s v="Friday"/>
    <x v="9"/>
    <x v="0"/>
    <x v="3"/>
    <n v="1258.4939889164"/>
    <n v="6"/>
    <n v="139.70990595571101"/>
    <x v="3"/>
  </r>
  <r>
    <s v="10/6/2023"/>
    <d v="2023-10-06T00:00:00"/>
    <s v="Friday"/>
    <x v="9"/>
    <x v="0"/>
    <x v="4"/>
    <n v="1254.8858423521001"/>
    <n v="6"/>
    <n v="333.60445196662403"/>
    <x v="2"/>
  </r>
  <r>
    <s v="10/7/2023"/>
    <d v="2023-10-07T00:00:00"/>
    <s v="Saturday"/>
    <x v="9"/>
    <x v="0"/>
    <x v="0"/>
    <n v="866.84249490000002"/>
    <n v="6"/>
    <n v="212.81451019447101"/>
    <x v="2"/>
  </r>
  <r>
    <s v="10/7/2023"/>
    <d v="2023-10-07T00:00:00"/>
    <s v="Saturday"/>
    <x v="9"/>
    <x v="0"/>
    <x v="1"/>
    <n v="644.86721475444097"/>
    <n v="6"/>
    <n v="183.30729328979101"/>
    <x v="2"/>
  </r>
  <r>
    <s v="10/7/2023"/>
    <d v="2023-10-07T00:00:00"/>
    <s v="Saturday"/>
    <x v="9"/>
    <x v="0"/>
    <x v="2"/>
    <n v="1377.5741776299999"/>
    <n v="7"/>
    <n v="337.43446597521501"/>
    <x v="1"/>
  </r>
  <r>
    <s v="10/7/2023"/>
    <d v="2023-10-07T00:00:00"/>
    <s v="Saturday"/>
    <x v="9"/>
    <x v="0"/>
    <x v="3"/>
    <n v="121.449643569"/>
    <n v="12"/>
    <n v="208.13185679022899"/>
    <x v="1"/>
  </r>
  <r>
    <s v="10/7/2023"/>
    <d v="2023-10-07T00:00:00"/>
    <s v="Saturday"/>
    <x v="9"/>
    <x v="0"/>
    <x v="4"/>
    <n v="1238.82661186"/>
    <n v="10"/>
    <n v="311.344886236783"/>
    <x v="3"/>
  </r>
  <r>
    <s v="10/8/2023"/>
    <d v="2023-10-08T00:00:00"/>
    <s v="Sunday"/>
    <x v="9"/>
    <x v="0"/>
    <x v="0"/>
    <n v="149.38235359244001"/>
    <n v="11"/>
    <n v="354.25121573506902"/>
    <x v="0"/>
  </r>
  <r>
    <s v="10/8/2023"/>
    <d v="2023-10-08T00:00:00"/>
    <s v="Sunday"/>
    <x v="9"/>
    <x v="0"/>
    <x v="1"/>
    <n v="987.47886287560004"/>
    <n v="8"/>
    <n v="345.863712888517"/>
    <x v="0"/>
  </r>
  <r>
    <s v="10/8/2023"/>
    <d v="2023-10-08T00:00:00"/>
    <s v="Sunday"/>
    <x v="9"/>
    <x v="0"/>
    <x v="2"/>
    <n v="1113.9131572736001"/>
    <n v="1"/>
    <n v="393.43194564099201"/>
    <x v="2"/>
  </r>
  <r>
    <s v="10/8/2023"/>
    <d v="2023-10-08T00:00:00"/>
    <s v="Sunday"/>
    <x v="9"/>
    <x v="0"/>
    <x v="3"/>
    <n v="1525.1832253692801"/>
    <n v="15"/>
    <n v="345.47502559005699"/>
    <x v="2"/>
  </r>
  <r>
    <s v="10/8/2023"/>
    <d v="2023-10-08T00:00:00"/>
    <s v="Sunday"/>
    <x v="9"/>
    <x v="0"/>
    <x v="4"/>
    <n v="13.1988115475"/>
    <n v="18"/>
    <n v="259.686118182283"/>
    <x v="3"/>
  </r>
  <r>
    <s v="10/9/2023"/>
    <d v="2023-10-09T00:00:00"/>
    <s v="Monday"/>
    <x v="9"/>
    <x v="0"/>
    <x v="0"/>
    <n v="197.19533000000001"/>
    <n v="8"/>
    <n v="144.804289881285"/>
    <x v="3"/>
  </r>
  <r>
    <s v="10/9/2023"/>
    <d v="2023-10-09T00:00:00"/>
    <s v="Monday"/>
    <x v="9"/>
    <x v="0"/>
    <x v="1"/>
    <n v="849.52928717718999"/>
    <n v="17"/>
    <n v="331.03069960609798"/>
    <x v="2"/>
  </r>
  <r>
    <s v="10/9/2023"/>
    <d v="2023-10-09T00:00:00"/>
    <s v="Monday"/>
    <x v="9"/>
    <x v="0"/>
    <x v="2"/>
    <n v="576.53153444812006"/>
    <n v="4"/>
    <n v="147.00843078615199"/>
    <x v="0"/>
  </r>
  <r>
    <s v="10/9/2023"/>
    <d v="2023-10-09T00:00:00"/>
    <s v="Monday"/>
    <x v="9"/>
    <x v="0"/>
    <x v="3"/>
    <n v="68.733546899347004"/>
    <n v="19"/>
    <n v="207.99973769051999"/>
    <x v="2"/>
  </r>
  <r>
    <s v="10/9/2023"/>
    <d v="2023-10-09T00:00:00"/>
    <s v="Monday"/>
    <x v="9"/>
    <x v="0"/>
    <x v="4"/>
    <n v="1298.5633667432101"/>
    <n v="19"/>
    <n v="208.340436954491"/>
    <x v="1"/>
  </r>
  <r>
    <s v="10/10/2023"/>
    <d v="2023-10-10T00:00:00"/>
    <s v="Tuesday"/>
    <x v="9"/>
    <x v="0"/>
    <x v="0"/>
    <n v="71.924966649870001"/>
    <n v="2"/>
    <n v="83.083873150000002"/>
    <x v="3"/>
  </r>
  <r>
    <s v="10/10/2023"/>
    <d v="2023-10-10T00:00:00"/>
    <s v="Tuesday"/>
    <x v="9"/>
    <x v="0"/>
    <x v="1"/>
    <n v="653.54269762499996"/>
    <n v="18"/>
    <n v="244.31962757715101"/>
    <x v="0"/>
  </r>
  <r>
    <s v="10/10/2023"/>
    <d v="2023-10-10T00:00:00"/>
    <s v="Tuesday"/>
    <x v="9"/>
    <x v="0"/>
    <x v="2"/>
    <n v="68.962369811599999"/>
    <n v="8"/>
    <n v="182.32315782430601"/>
    <x v="2"/>
  </r>
  <r>
    <s v="10/10/2023"/>
    <d v="2023-10-10T00:00:00"/>
    <s v="Tuesday"/>
    <x v="9"/>
    <x v="0"/>
    <x v="3"/>
    <n v="791.65513724133405"/>
    <n v="12"/>
    <n v="294.39284008446998"/>
    <x v="3"/>
  </r>
  <r>
    <s v="10/10/2023"/>
    <d v="2023-10-10T00:00:00"/>
    <s v="Tuesday"/>
    <x v="9"/>
    <x v="0"/>
    <x v="4"/>
    <n v="968.69716213931997"/>
    <n v="12"/>
    <n v="120.03564576242201"/>
    <x v="0"/>
  </r>
  <r>
    <s v="10/11/2023"/>
    <d v="2023-10-11T00:00:00"/>
    <s v="Wednesday"/>
    <x v="9"/>
    <x v="0"/>
    <x v="0"/>
    <n v="1117.9921151589999"/>
    <n v="7"/>
    <n v="424.57987961403597"/>
    <x v="3"/>
  </r>
  <r>
    <s v="10/11/2023"/>
    <d v="2023-10-11T00:00:00"/>
    <s v="Wednesday"/>
    <x v="9"/>
    <x v="0"/>
    <x v="1"/>
    <n v="917.74674599672005"/>
    <n v="9"/>
    <n v="203.670910786348"/>
    <x v="0"/>
  </r>
  <r>
    <s v="10/11/2023"/>
    <d v="2023-10-11T00:00:00"/>
    <s v="Wednesday"/>
    <x v="9"/>
    <x v="0"/>
    <x v="2"/>
    <n v="972.72154815289696"/>
    <n v="13"/>
    <n v="286.56852081033998"/>
    <x v="2"/>
  </r>
  <r>
    <s v="10/11/2023"/>
    <d v="2023-10-11T00:00:00"/>
    <s v="Wednesday"/>
    <x v="9"/>
    <x v="0"/>
    <x v="3"/>
    <n v="77.385929449198002"/>
    <n v="14"/>
    <n v="136.46006059999999"/>
    <x v="2"/>
  </r>
  <r>
    <s v="10/11/2023"/>
    <d v="2023-10-11T00:00:00"/>
    <s v="Wednesday"/>
    <x v="9"/>
    <x v="0"/>
    <x v="4"/>
    <n v="128.81696345169999"/>
    <n v="7"/>
    <n v="420.25963153953597"/>
    <x v="3"/>
  </r>
  <r>
    <s v="10/12/2023"/>
    <d v="2023-10-12T00:00:00"/>
    <s v="Thursday"/>
    <x v="9"/>
    <x v="0"/>
    <x v="0"/>
    <n v="1272.943667367"/>
    <n v="4"/>
    <n v="416.17005700774001"/>
    <x v="0"/>
  </r>
  <r>
    <s v="10/12/2023"/>
    <d v="2023-10-12T00:00:00"/>
    <s v="Thursday"/>
    <x v="9"/>
    <x v="0"/>
    <x v="1"/>
    <n v="56.61938124812"/>
    <n v="4"/>
    <n v="94.036537793047799"/>
    <x v="2"/>
  </r>
  <r>
    <s v="10/12/2023"/>
    <d v="2023-10-12T00:00:00"/>
    <s v="Thursday"/>
    <x v="9"/>
    <x v="0"/>
    <x v="2"/>
    <n v="513.66415688314601"/>
    <n v="17"/>
    <n v="203.10092930418801"/>
    <x v="3"/>
  </r>
  <r>
    <s v="10/12/2023"/>
    <d v="2023-10-12T00:00:00"/>
    <s v="Thursday"/>
    <x v="9"/>
    <x v="0"/>
    <x v="3"/>
    <n v="92.282266978872997"/>
    <n v="13"/>
    <n v="125.512822002856"/>
    <x v="3"/>
  </r>
  <r>
    <s v="10/12/2023"/>
    <d v="2023-10-12T00:00:00"/>
    <s v="Thursday"/>
    <x v="9"/>
    <x v="0"/>
    <x v="4"/>
    <n v="1119.5331596999999"/>
    <n v="10"/>
    <n v="123.517413397448"/>
    <x v="3"/>
  </r>
  <r>
    <s v="10/13/2023"/>
    <d v="2023-10-13T00:00:00"/>
    <s v="Friday"/>
    <x v="9"/>
    <x v="0"/>
    <x v="0"/>
    <n v="1131.16932926411"/>
    <n v="5"/>
    <n v="215.53618360050299"/>
    <x v="0"/>
  </r>
  <r>
    <s v="10/13/2023"/>
    <d v="2023-10-13T00:00:00"/>
    <s v="Friday"/>
    <x v="9"/>
    <x v="0"/>
    <x v="1"/>
    <n v="123.9269586976"/>
    <n v="3"/>
    <n v="143.461071221884"/>
    <x v="2"/>
  </r>
  <r>
    <s v="10/13/2023"/>
    <d v="2023-10-13T00:00:00"/>
    <s v="Friday"/>
    <x v="9"/>
    <x v="0"/>
    <x v="2"/>
    <n v="742.23573717299996"/>
    <n v="2"/>
    <n v="241.54169736147301"/>
    <x v="2"/>
  </r>
  <r>
    <s v="10/13/2023"/>
    <d v="2023-10-13T00:00:00"/>
    <s v="Friday"/>
    <x v="9"/>
    <x v="0"/>
    <x v="3"/>
    <n v="149.94185272999999"/>
    <n v="11"/>
    <n v="537.82845543847702"/>
    <x v="3"/>
  </r>
  <r>
    <s v="10/13/2023"/>
    <d v="2023-10-13T00:00:00"/>
    <s v="Friday"/>
    <x v="9"/>
    <x v="0"/>
    <x v="4"/>
    <n v="984.44449958330995"/>
    <n v="1"/>
    <n v="161.986414084628"/>
    <x v="0"/>
  </r>
  <r>
    <s v="10/14/2023"/>
    <d v="2023-10-14T00:00:00"/>
    <s v="Saturday"/>
    <x v="9"/>
    <x v="0"/>
    <x v="0"/>
    <n v="1178.64726929177"/>
    <n v="6"/>
    <n v="227.58751733008501"/>
    <x v="0"/>
  </r>
  <r>
    <s v="10/14/2023"/>
    <d v="2023-10-14T00:00:00"/>
    <s v="Saturday"/>
    <x v="9"/>
    <x v="0"/>
    <x v="1"/>
    <n v="823.31573611320005"/>
    <n v="19"/>
    <n v="142.11874415380601"/>
    <x v="2"/>
  </r>
  <r>
    <s v="10/14/2023"/>
    <d v="2023-10-14T00:00:00"/>
    <s v="Saturday"/>
    <x v="9"/>
    <x v="0"/>
    <x v="2"/>
    <n v="145.32186772393999"/>
    <n v="12"/>
    <n v="241.29989245336699"/>
    <x v="0"/>
  </r>
  <r>
    <s v="10/14/2023"/>
    <d v="2023-10-14T00:00:00"/>
    <s v="Saturday"/>
    <x v="9"/>
    <x v="0"/>
    <x v="3"/>
    <n v="1265.85735657543"/>
    <n v="3"/>
    <n v="369.77493940220899"/>
    <x v="0"/>
  </r>
  <r>
    <s v="10/14/2023"/>
    <d v="2023-10-14T00:00:00"/>
    <s v="Saturday"/>
    <x v="9"/>
    <x v="0"/>
    <x v="4"/>
    <n v="797.12763752727199"/>
    <n v="9"/>
    <n v="221.535207641608"/>
    <x v="0"/>
  </r>
  <r>
    <s v="10/15/2023"/>
    <d v="2023-10-15T00:00:00"/>
    <s v="Sunday"/>
    <x v="9"/>
    <x v="0"/>
    <x v="0"/>
    <n v="671.69566999999995"/>
    <n v="9"/>
    <n v="94.038922080000006"/>
    <x v="2"/>
  </r>
  <r>
    <s v="10/15/2023"/>
    <d v="2023-10-15T00:00:00"/>
    <s v="Sunday"/>
    <x v="9"/>
    <x v="0"/>
    <x v="1"/>
    <n v="747.81777175916"/>
    <n v="12"/>
    <n v="126.46794416849799"/>
    <x v="2"/>
  </r>
  <r>
    <s v="10/15/2023"/>
    <d v="2023-10-15T00:00:00"/>
    <s v="Sunday"/>
    <x v="9"/>
    <x v="0"/>
    <x v="2"/>
    <n v="1224.98499119537"/>
    <n v="10"/>
    <n v="258.23447885821003"/>
    <x v="3"/>
  </r>
  <r>
    <s v="10/15/2023"/>
    <d v="2023-10-15T00:00:00"/>
    <s v="Sunday"/>
    <x v="9"/>
    <x v="0"/>
    <x v="3"/>
    <n v="652.51421919799998"/>
    <n v="3"/>
    <n v="178.24392552977599"/>
    <x v="2"/>
  </r>
  <r>
    <s v="10/15/2023"/>
    <d v="2023-10-15T00:00:00"/>
    <s v="Sunday"/>
    <x v="9"/>
    <x v="0"/>
    <x v="4"/>
    <n v="495.52687697670001"/>
    <n v="7"/>
    <n v="52.029400357836899"/>
    <x v="2"/>
  </r>
  <r>
    <s v="10/16/2023"/>
    <d v="2023-10-16T00:00:00"/>
    <s v="Monday"/>
    <x v="9"/>
    <x v="0"/>
    <x v="0"/>
    <n v="735.77377309999997"/>
    <n v="17"/>
    <n v="135.893111812207"/>
    <x v="3"/>
  </r>
  <r>
    <s v="10/16/2023"/>
    <d v="2023-10-16T00:00:00"/>
    <s v="Monday"/>
    <x v="9"/>
    <x v="0"/>
    <x v="1"/>
    <n v="1539.617555539"/>
    <n v="7"/>
    <n v="272.39514637601798"/>
    <x v="0"/>
  </r>
  <r>
    <s v="10/16/2023"/>
    <d v="2023-10-16T00:00:00"/>
    <s v="Monday"/>
    <x v="9"/>
    <x v="0"/>
    <x v="2"/>
    <n v="1321.1954868969999"/>
    <n v="15"/>
    <n v="278.06057469403902"/>
    <x v="3"/>
  </r>
  <r>
    <s v="10/16/2023"/>
    <d v="2023-10-16T00:00:00"/>
    <s v="Monday"/>
    <x v="9"/>
    <x v="0"/>
    <x v="3"/>
    <n v="1381.56772658159"/>
    <n v="16"/>
    <n v="312.539589529463"/>
    <x v="2"/>
  </r>
  <r>
    <s v="10/16/2023"/>
    <d v="2023-10-16T00:00:00"/>
    <s v="Monday"/>
    <x v="9"/>
    <x v="0"/>
    <x v="4"/>
    <n v="967.99729541673003"/>
    <n v="16"/>
    <n v="252.498818686394"/>
    <x v="0"/>
  </r>
  <r>
    <s v="10/17/2023"/>
    <d v="2023-10-17T00:00:00"/>
    <s v="Tuesday"/>
    <x v="9"/>
    <x v="0"/>
    <x v="0"/>
    <n v="1344.7778591900001"/>
    <n v="15"/>
    <n v="313.42602310000001"/>
    <x v="3"/>
  </r>
  <r>
    <s v="10/17/2023"/>
    <d v="2023-10-17T00:00:00"/>
    <s v="Tuesday"/>
    <x v="9"/>
    <x v="0"/>
    <x v="1"/>
    <n v="292.79973262156"/>
    <n v="4"/>
    <n v="95.768438142408002"/>
    <x v="0"/>
  </r>
  <r>
    <s v="10/17/2023"/>
    <d v="2023-10-17T00:00:00"/>
    <s v="Tuesday"/>
    <x v="9"/>
    <x v="0"/>
    <x v="2"/>
    <n v="845.51544811856002"/>
    <n v="18"/>
    <n v="303.44524999999999"/>
    <x v="1"/>
  </r>
  <r>
    <s v="10/17/2023"/>
    <d v="2023-10-17T00:00:00"/>
    <s v="Tuesday"/>
    <x v="9"/>
    <x v="0"/>
    <x v="3"/>
    <n v="714.741314359993"/>
    <n v="4"/>
    <n v="259.68326042906301"/>
    <x v="1"/>
  </r>
  <r>
    <s v="10/17/2023"/>
    <d v="2023-10-17T00:00:00"/>
    <s v="Tuesday"/>
    <x v="9"/>
    <x v="0"/>
    <x v="4"/>
    <n v="946.34346354756997"/>
    <n v="15"/>
    <n v="328.20220607730499"/>
    <x v="3"/>
  </r>
  <r>
    <s v="10/18/2023"/>
    <d v="2023-10-18T00:00:00"/>
    <s v="Wednesday"/>
    <x v="9"/>
    <x v="0"/>
    <x v="0"/>
    <n v="441.41495953778502"/>
    <n v="18"/>
    <n v="155.30566057752"/>
    <x v="1"/>
  </r>
  <r>
    <s v="10/18/2023"/>
    <d v="2023-10-18T00:00:00"/>
    <s v="Wednesday"/>
    <x v="9"/>
    <x v="0"/>
    <x v="1"/>
    <n v="133.69634964939999"/>
    <n v="13"/>
    <n v="163.120301277176"/>
    <x v="2"/>
  </r>
  <r>
    <s v="10/18/2023"/>
    <d v="2023-10-18T00:00:00"/>
    <s v="Wednesday"/>
    <x v="9"/>
    <x v="0"/>
    <x v="2"/>
    <n v="1548.9879926260001"/>
    <n v="19"/>
    <n v="374.06185012621302"/>
    <x v="1"/>
  </r>
  <r>
    <s v="10/18/2023"/>
    <d v="2023-10-18T00:00:00"/>
    <s v="Wednesday"/>
    <x v="9"/>
    <x v="0"/>
    <x v="3"/>
    <n v="133.61991255346999"/>
    <n v="12"/>
    <n v="126.711909618707"/>
    <x v="1"/>
  </r>
  <r>
    <s v="10/18/2023"/>
    <d v="2023-10-18T00:00:00"/>
    <s v="Wednesday"/>
    <x v="9"/>
    <x v="0"/>
    <x v="4"/>
    <n v="947.38646323392004"/>
    <n v="10"/>
    <n v="224.54876063601"/>
    <x v="0"/>
  </r>
  <r>
    <s v="10/19/2023"/>
    <d v="2023-10-19T00:00:00"/>
    <s v="Thursday"/>
    <x v="9"/>
    <x v="0"/>
    <x v="0"/>
    <n v="1147.4516941743"/>
    <n v="13"/>
    <n v="132.811237567528"/>
    <x v="2"/>
  </r>
  <r>
    <s v="10/19/2023"/>
    <d v="2023-10-19T00:00:00"/>
    <s v="Thursday"/>
    <x v="9"/>
    <x v="0"/>
    <x v="1"/>
    <n v="1544.223955462"/>
    <n v="19"/>
    <n v="395.98813737407198"/>
    <x v="0"/>
  </r>
  <r>
    <s v="10/19/2023"/>
    <d v="2023-10-19T00:00:00"/>
    <s v="Thursday"/>
    <x v="9"/>
    <x v="0"/>
    <x v="2"/>
    <n v="897.13634153272994"/>
    <n v="17"/>
    <n v="165.564269875957"/>
    <x v="0"/>
  </r>
  <r>
    <s v="10/19/2023"/>
    <d v="2023-10-19T00:00:00"/>
    <s v="Thursday"/>
    <x v="9"/>
    <x v="0"/>
    <x v="3"/>
    <n v="965.87842844679994"/>
    <n v="17"/>
    <n v="321.00552386981798"/>
    <x v="0"/>
  </r>
  <r>
    <s v="10/19/2023"/>
    <d v="2023-10-19T00:00:00"/>
    <s v="Thursday"/>
    <x v="9"/>
    <x v="0"/>
    <x v="4"/>
    <n v="121.55924933750001"/>
    <n v="8"/>
    <n v="233.43194808619299"/>
    <x v="1"/>
  </r>
  <r>
    <s v="10/20/2023"/>
    <d v="2023-10-20T00:00:00"/>
    <s v="Friday"/>
    <x v="9"/>
    <x v="0"/>
    <x v="0"/>
    <n v="1154.516387957"/>
    <n v="13"/>
    <n v="379.33594944213399"/>
    <x v="0"/>
  </r>
  <r>
    <s v="10/20/2023"/>
    <d v="2023-10-20T00:00:00"/>
    <s v="Friday"/>
    <x v="9"/>
    <x v="0"/>
    <x v="1"/>
    <n v="476.72736191821298"/>
    <n v="11"/>
    <n v="124.26506131034201"/>
    <x v="2"/>
  </r>
  <r>
    <s v="10/20/2023"/>
    <d v="2023-10-20T00:00:00"/>
    <s v="Friday"/>
    <x v="9"/>
    <x v="0"/>
    <x v="2"/>
    <n v="119.3863935415"/>
    <n v="1"/>
    <n v="342.06217646262098"/>
    <x v="1"/>
  </r>
  <r>
    <s v="10/20/2023"/>
    <d v="2023-10-20T00:00:00"/>
    <s v="Friday"/>
    <x v="9"/>
    <x v="0"/>
    <x v="3"/>
    <n v="499.85398846792998"/>
    <n v="16"/>
    <n v="194.251686474998"/>
    <x v="1"/>
  </r>
  <r>
    <s v="10/20/2023"/>
    <d v="2023-10-20T00:00:00"/>
    <s v="Friday"/>
    <x v="9"/>
    <x v="0"/>
    <x v="4"/>
    <n v="119.95548218819999"/>
    <n v="5"/>
    <n v="145.694818053419"/>
    <x v="2"/>
  </r>
  <r>
    <s v="10/21/2023"/>
    <d v="2023-10-21T00:00:00"/>
    <s v="Saturday"/>
    <x v="9"/>
    <x v="0"/>
    <x v="0"/>
    <n v="81.381772633881994"/>
    <n v="15"/>
    <n v="149.73025325836699"/>
    <x v="0"/>
  </r>
  <r>
    <s v="10/21/2023"/>
    <d v="2023-10-21T00:00:00"/>
    <s v="Saturday"/>
    <x v="9"/>
    <x v="0"/>
    <x v="1"/>
    <n v="1166.18681412468"/>
    <n v="13"/>
    <n v="135.84897608978699"/>
    <x v="0"/>
  </r>
  <r>
    <s v="10/21/2023"/>
    <d v="2023-10-21T00:00:00"/>
    <s v="Saturday"/>
    <x v="9"/>
    <x v="0"/>
    <x v="2"/>
    <n v="1257.3456524643"/>
    <n v="3"/>
    <n v="156.881088422023"/>
    <x v="1"/>
  </r>
  <r>
    <s v="10/21/2023"/>
    <d v="2023-10-21T00:00:00"/>
    <s v="Saturday"/>
    <x v="9"/>
    <x v="0"/>
    <x v="3"/>
    <n v="752.59418929620006"/>
    <n v="13"/>
    <n v="133.68838102508701"/>
    <x v="3"/>
  </r>
  <r>
    <s v="10/21/2023"/>
    <d v="2023-10-21T00:00:00"/>
    <s v="Saturday"/>
    <x v="9"/>
    <x v="0"/>
    <x v="4"/>
    <n v="14.4654985152"/>
    <n v="12"/>
    <n v="176.532017983207"/>
    <x v="0"/>
  </r>
  <r>
    <s v="10/22/2023"/>
    <d v="2023-10-22T00:00:00"/>
    <s v="Sunday"/>
    <x v="9"/>
    <x v="0"/>
    <x v="0"/>
    <n v="1547.4744789829999"/>
    <n v="6"/>
    <n v="310.12652459873198"/>
    <x v="0"/>
  </r>
  <r>
    <s v="10/22/2023"/>
    <d v="2023-10-22T00:00:00"/>
    <s v="Sunday"/>
    <x v="9"/>
    <x v="0"/>
    <x v="1"/>
    <n v="928.62977446924697"/>
    <n v="17"/>
    <n v="346.26618631861101"/>
    <x v="0"/>
  </r>
  <r>
    <s v="10/22/2023"/>
    <d v="2023-10-22T00:00:00"/>
    <s v="Sunday"/>
    <x v="9"/>
    <x v="0"/>
    <x v="2"/>
    <n v="1176.737184325"/>
    <n v="7"/>
    <n v="318.95989679724801"/>
    <x v="2"/>
  </r>
  <r>
    <s v="10/22/2023"/>
    <d v="2023-10-22T00:00:00"/>
    <s v="Sunday"/>
    <x v="9"/>
    <x v="0"/>
    <x v="3"/>
    <n v="15.5674938941"/>
    <n v="10"/>
    <n v="402.06418849203698"/>
    <x v="0"/>
  </r>
  <r>
    <s v="10/22/2023"/>
    <d v="2023-10-22T00:00:00"/>
    <s v="Sunday"/>
    <x v="9"/>
    <x v="0"/>
    <x v="4"/>
    <n v="1556.9942396858"/>
    <n v="17"/>
    <n v="255.25773814132299"/>
    <x v="2"/>
  </r>
  <r>
    <s v="10/23/2023"/>
    <d v="2023-10-23T00:00:00"/>
    <s v="Monday"/>
    <x v="9"/>
    <x v="0"/>
    <x v="0"/>
    <n v="855.47286719570002"/>
    <n v="7"/>
    <n v="222.41974290033301"/>
    <x v="3"/>
  </r>
  <r>
    <s v="10/23/2023"/>
    <d v="2023-10-23T00:00:00"/>
    <s v="Monday"/>
    <x v="9"/>
    <x v="0"/>
    <x v="1"/>
    <n v="844.72418426116997"/>
    <n v="5"/>
    <n v="215.024632769482"/>
    <x v="0"/>
  </r>
  <r>
    <s v="10/23/2023"/>
    <d v="2023-10-23T00:00:00"/>
    <s v="Monday"/>
    <x v="9"/>
    <x v="0"/>
    <x v="2"/>
    <n v="91.522153855270005"/>
    <n v="19"/>
    <n v="258.044251847868"/>
    <x v="0"/>
  </r>
  <r>
    <s v="10/23/2023"/>
    <d v="2023-10-23T00:00:00"/>
    <s v="Monday"/>
    <x v="9"/>
    <x v="0"/>
    <x v="3"/>
    <n v="193.36394187639999"/>
    <n v="17"/>
    <n v="403.14155576384502"/>
    <x v="3"/>
  </r>
  <r>
    <s v="10/23/2023"/>
    <d v="2023-10-23T00:00:00"/>
    <s v="Monday"/>
    <x v="9"/>
    <x v="0"/>
    <x v="4"/>
    <n v="113.56533168839999"/>
    <n v="9"/>
    <n v="369.178461773648"/>
    <x v="3"/>
  </r>
  <r>
    <s v="10/24/2023"/>
    <d v="2023-10-24T00:00:00"/>
    <s v="Tuesday"/>
    <x v="9"/>
    <x v="0"/>
    <x v="0"/>
    <n v="153.21375127434001"/>
    <n v="19"/>
    <n v="212.11142011698999"/>
    <x v="3"/>
  </r>
  <r>
    <s v="10/24/2023"/>
    <d v="2023-10-24T00:00:00"/>
    <s v="Tuesday"/>
    <x v="9"/>
    <x v="0"/>
    <x v="1"/>
    <n v="37.383334284999997"/>
    <n v="1"/>
    <n v="57.8189370307907"/>
    <x v="0"/>
  </r>
  <r>
    <s v="10/24/2023"/>
    <d v="2023-10-24T00:00:00"/>
    <s v="Tuesday"/>
    <x v="9"/>
    <x v="0"/>
    <x v="2"/>
    <n v="484.88141546738501"/>
    <n v="7"/>
    <n v="122.83411022438899"/>
    <x v="2"/>
  </r>
  <r>
    <s v="10/24/2023"/>
    <d v="2023-10-24T00:00:00"/>
    <s v="Tuesday"/>
    <x v="9"/>
    <x v="0"/>
    <x v="3"/>
    <n v="19.6996983867"/>
    <n v="16"/>
    <n v="393.87406989999999"/>
    <x v="1"/>
  </r>
  <r>
    <s v="10/24/2023"/>
    <d v="2023-10-24T00:00:00"/>
    <s v="Tuesday"/>
    <x v="9"/>
    <x v="0"/>
    <x v="4"/>
    <n v="1291.6272456269301"/>
    <n v="17"/>
    <n v="349.723497412168"/>
    <x v="3"/>
  </r>
  <r>
    <s v="10/25/2023"/>
    <d v="2023-10-25T00:00:00"/>
    <s v="Wednesday"/>
    <x v="9"/>
    <x v="0"/>
    <x v="0"/>
    <n v="1391.33245472"/>
    <n v="8"/>
    <n v="382.43828938754899"/>
    <x v="2"/>
  </r>
  <r>
    <s v="10/25/2023"/>
    <d v="2023-10-25T00:00:00"/>
    <s v="Wednesday"/>
    <x v="9"/>
    <x v="0"/>
    <x v="1"/>
    <n v="667.52585418464002"/>
    <n v="6"/>
    <n v="119.31724415131499"/>
    <x v="0"/>
  </r>
  <r>
    <s v="10/25/2023"/>
    <d v="2023-10-25T00:00:00"/>
    <s v="Wednesday"/>
    <x v="9"/>
    <x v="0"/>
    <x v="2"/>
    <n v="1478.22463958555"/>
    <n v="9"/>
    <n v="256.02642432272"/>
    <x v="1"/>
  </r>
  <r>
    <s v="10/25/2023"/>
    <d v="2023-10-25T00:00:00"/>
    <s v="Wednesday"/>
    <x v="9"/>
    <x v="0"/>
    <x v="3"/>
    <n v="1331.5553165547999"/>
    <n v="14"/>
    <n v="272.180484372016"/>
    <x v="3"/>
  </r>
  <r>
    <s v="10/25/2023"/>
    <d v="2023-10-25T00:00:00"/>
    <s v="Wednesday"/>
    <x v="9"/>
    <x v="0"/>
    <x v="4"/>
    <n v="1655.73394368135"/>
    <n v="7"/>
    <n v="645.71416092443599"/>
    <x v="0"/>
  </r>
  <r>
    <s v="10/26/2023"/>
    <d v="2023-10-26T00:00:00"/>
    <s v="Thursday"/>
    <x v="9"/>
    <x v="0"/>
    <x v="0"/>
    <n v="836.92212288292001"/>
    <n v="16"/>
    <n v="268.60342011284098"/>
    <x v="2"/>
  </r>
  <r>
    <s v="10/26/2023"/>
    <d v="2023-10-26T00:00:00"/>
    <s v="Thursday"/>
    <x v="9"/>
    <x v="0"/>
    <x v="1"/>
    <n v="771.37141451634"/>
    <n v="4"/>
    <n v="267.300038733294"/>
    <x v="0"/>
  </r>
  <r>
    <s v="10/26/2023"/>
    <d v="2023-10-26T00:00:00"/>
    <s v="Thursday"/>
    <x v="9"/>
    <x v="0"/>
    <x v="2"/>
    <n v="592.42779542275696"/>
    <n v="12"/>
    <n v="227.821721505098"/>
    <x v="3"/>
  </r>
  <r>
    <s v="10/26/2023"/>
    <d v="2023-10-26T00:00:00"/>
    <s v="Thursday"/>
    <x v="9"/>
    <x v="0"/>
    <x v="3"/>
    <n v="676.79136172450001"/>
    <n v="18"/>
    <n v="68.986411700000005"/>
    <x v="3"/>
  </r>
  <r>
    <s v="10/26/2023"/>
    <d v="2023-10-26T00:00:00"/>
    <s v="Thursday"/>
    <x v="9"/>
    <x v="0"/>
    <x v="4"/>
    <n v="979.56297244961399"/>
    <n v="10"/>
    <n v="251.50185540865201"/>
    <x v="3"/>
  </r>
  <r>
    <s v="10/27/2023"/>
    <d v="2023-10-27T00:00:00"/>
    <s v="Friday"/>
    <x v="9"/>
    <x v="0"/>
    <x v="0"/>
    <n v="119.19118925582001"/>
    <n v="17"/>
    <n v="191.313721066234"/>
    <x v="2"/>
  </r>
  <r>
    <s v="10/27/2023"/>
    <d v="2023-10-27T00:00:00"/>
    <s v="Friday"/>
    <x v="9"/>
    <x v="0"/>
    <x v="1"/>
    <n v="976.14181968753996"/>
    <n v="2"/>
    <n v="116.383840327713"/>
    <x v="2"/>
  </r>
  <r>
    <s v="10/27/2023"/>
    <d v="2023-10-27T00:00:00"/>
    <s v="Friday"/>
    <x v="9"/>
    <x v="0"/>
    <x v="2"/>
    <n v="281.89475447976099"/>
    <n v="13"/>
    <n v="90.7346917592089"/>
    <x v="2"/>
  </r>
  <r>
    <s v="10/27/2023"/>
    <d v="2023-10-27T00:00:00"/>
    <s v="Friday"/>
    <x v="9"/>
    <x v="0"/>
    <x v="3"/>
    <n v="1481.9642158864999"/>
    <n v="6"/>
    <n v="523.34656224254695"/>
    <x v="2"/>
  </r>
  <r>
    <s v="10/27/2023"/>
    <d v="2023-10-27T00:00:00"/>
    <s v="Friday"/>
    <x v="9"/>
    <x v="0"/>
    <x v="4"/>
    <n v="73.729994499889003"/>
    <n v="3"/>
    <n v="278.66223194947099"/>
    <x v="2"/>
  </r>
  <r>
    <s v="10/28/2023"/>
    <d v="2023-10-28T00:00:00"/>
    <s v="Saturday"/>
    <x v="9"/>
    <x v="0"/>
    <x v="0"/>
    <n v="83.467143558000004"/>
    <n v="7"/>
    <n v="146.250432169139"/>
    <x v="2"/>
  </r>
  <r>
    <s v="10/28/2023"/>
    <d v="2023-10-28T00:00:00"/>
    <s v="Saturday"/>
    <x v="9"/>
    <x v="0"/>
    <x v="1"/>
    <n v="663.94496839383805"/>
    <n v="4"/>
    <n v="84.234570194540197"/>
    <x v="3"/>
  </r>
  <r>
    <s v="10/28/2023"/>
    <d v="2023-10-28T00:00:00"/>
    <s v="Saturday"/>
    <x v="9"/>
    <x v="0"/>
    <x v="2"/>
    <n v="776.42954887871997"/>
    <n v="5"/>
    <n v="245.90499555142699"/>
    <x v="0"/>
  </r>
  <r>
    <s v="10/28/2023"/>
    <d v="2023-10-28T00:00:00"/>
    <s v="Saturday"/>
    <x v="9"/>
    <x v="0"/>
    <x v="3"/>
    <n v="796.83171988499998"/>
    <n v="13"/>
    <n v="167.179723427477"/>
    <x v="3"/>
  </r>
  <r>
    <s v="10/28/2023"/>
    <d v="2023-10-28T00:00:00"/>
    <s v="Saturday"/>
    <x v="9"/>
    <x v="0"/>
    <x v="4"/>
    <n v="569.94228313451003"/>
    <n v="5"/>
    <n v="68.627421943681696"/>
    <x v="2"/>
  </r>
  <r>
    <s v="10/29/2023"/>
    <d v="2023-10-29T00:00:00"/>
    <s v="Sunday"/>
    <x v="9"/>
    <x v="0"/>
    <x v="0"/>
    <n v="368.4666436"/>
    <n v="3"/>
    <n v="66.338132004805999"/>
    <x v="3"/>
  </r>
  <r>
    <s v="10/29/2023"/>
    <d v="2023-10-29T00:00:00"/>
    <s v="Sunday"/>
    <x v="9"/>
    <x v="0"/>
    <x v="1"/>
    <n v="743.48157676100004"/>
    <n v="14"/>
    <n v="262.62190498073898"/>
    <x v="1"/>
  </r>
  <r>
    <s v="10/29/2023"/>
    <d v="2023-10-29T00:00:00"/>
    <s v="Sunday"/>
    <x v="9"/>
    <x v="0"/>
    <x v="2"/>
    <n v="957.36656165935995"/>
    <n v="6"/>
    <n v="293.11721029931101"/>
    <x v="3"/>
  </r>
  <r>
    <s v="10/29/2023"/>
    <d v="2023-10-29T00:00:00"/>
    <s v="Sunday"/>
    <x v="9"/>
    <x v="0"/>
    <x v="3"/>
    <n v="1193.8723934730999"/>
    <n v="2"/>
    <n v="122.906870696338"/>
    <x v="3"/>
  </r>
  <r>
    <s v="10/29/2023"/>
    <d v="2023-10-29T00:00:00"/>
    <s v="Sunday"/>
    <x v="9"/>
    <x v="0"/>
    <x v="4"/>
    <n v="617.52564815338997"/>
    <n v="2"/>
    <n v="122.768019558844"/>
    <x v="1"/>
  </r>
  <r>
    <s v="10/30/2023"/>
    <d v="2023-10-30T00:00:00"/>
    <s v="Monday"/>
    <x v="9"/>
    <x v="0"/>
    <x v="0"/>
    <n v="95.497791599699994"/>
    <n v="11"/>
    <n v="326.48468459999998"/>
    <x v="1"/>
  </r>
  <r>
    <s v="10/30/2023"/>
    <d v="2023-10-30T00:00:00"/>
    <s v="Monday"/>
    <x v="9"/>
    <x v="0"/>
    <x v="1"/>
    <n v="1324.8555951000001"/>
    <n v="12"/>
    <n v="421.42785143034598"/>
    <x v="3"/>
  </r>
  <r>
    <s v="10/30/2023"/>
    <d v="2023-10-30T00:00:00"/>
    <s v="Monday"/>
    <x v="9"/>
    <x v="0"/>
    <x v="2"/>
    <n v="148.26531489753"/>
    <n v="13"/>
    <n v="392.60632235722301"/>
    <x v="0"/>
  </r>
  <r>
    <s v="10/30/2023"/>
    <d v="2023-10-30T00:00:00"/>
    <s v="Monday"/>
    <x v="9"/>
    <x v="0"/>
    <x v="3"/>
    <n v="723.222199951741"/>
    <n v="8"/>
    <n v="165.880518646925"/>
    <x v="3"/>
  </r>
  <r>
    <s v="10/30/2023"/>
    <d v="2023-10-30T00:00:00"/>
    <s v="Monday"/>
    <x v="9"/>
    <x v="0"/>
    <x v="4"/>
    <n v="939.85761725263603"/>
    <n v="5"/>
    <n v="240.118504732319"/>
    <x v="2"/>
  </r>
  <r>
    <s v="10/31/2023"/>
    <d v="2023-10-31T00:00:00"/>
    <s v="Tuesday"/>
    <x v="9"/>
    <x v="0"/>
    <x v="0"/>
    <n v="469.89689499999997"/>
    <n v="7"/>
    <n v="71.540395514655003"/>
    <x v="2"/>
  </r>
  <r>
    <s v="10/31/2023"/>
    <d v="2023-10-31T00:00:00"/>
    <s v="Tuesday"/>
    <x v="9"/>
    <x v="0"/>
    <x v="1"/>
    <n v="197.27763881550001"/>
    <n v="8"/>
    <n v="118.642420603991"/>
    <x v="0"/>
  </r>
  <r>
    <s v="10/31/2023"/>
    <d v="2023-10-31T00:00:00"/>
    <s v="Tuesday"/>
    <x v="9"/>
    <x v="0"/>
    <x v="2"/>
    <n v="1683.4729211746801"/>
    <n v="7"/>
    <n v="318.06437445885302"/>
    <x v="2"/>
  </r>
  <r>
    <s v="10/31/2023"/>
    <d v="2023-10-31T00:00:00"/>
    <s v="Tuesday"/>
    <x v="9"/>
    <x v="0"/>
    <x v="3"/>
    <n v="15.236639575790001"/>
    <n v="2"/>
    <n v="178.36144191932101"/>
    <x v="0"/>
  </r>
  <r>
    <s v="10/31/2023"/>
    <d v="2023-10-31T00:00:00"/>
    <s v="Tuesday"/>
    <x v="9"/>
    <x v="0"/>
    <x v="4"/>
    <n v="596.76915514527502"/>
    <n v="12"/>
    <n v="83.538895741486598"/>
    <x v="0"/>
  </r>
  <r>
    <s v="11/1/2023"/>
    <d v="2023-11-01T00:00:00"/>
    <s v="Wednesday"/>
    <x v="10"/>
    <x v="0"/>
    <x v="0"/>
    <n v="629.86814753333294"/>
    <n v="14"/>
    <n v="209.59692544915501"/>
    <x v="2"/>
  </r>
  <r>
    <s v="11/1/2023"/>
    <d v="2023-11-01T00:00:00"/>
    <s v="Wednesday"/>
    <x v="10"/>
    <x v="0"/>
    <x v="1"/>
    <n v="95.577729687689995"/>
    <n v="15"/>
    <n v="278.683139599816"/>
    <x v="0"/>
  </r>
  <r>
    <s v="11/1/2023"/>
    <d v="2023-11-01T00:00:00"/>
    <s v="Wednesday"/>
    <x v="10"/>
    <x v="0"/>
    <x v="2"/>
    <n v="1478.39219236489"/>
    <n v="1"/>
    <n v="351.13151601120597"/>
    <x v="1"/>
  </r>
  <r>
    <s v="11/1/2023"/>
    <d v="2023-11-01T00:00:00"/>
    <s v="Wednesday"/>
    <x v="10"/>
    <x v="0"/>
    <x v="3"/>
    <n v="999.18394146726598"/>
    <n v="5"/>
    <n v="110.223035593668"/>
    <x v="2"/>
  </r>
  <r>
    <s v="11/1/2023"/>
    <d v="2023-11-01T00:00:00"/>
    <s v="Wednesday"/>
    <x v="10"/>
    <x v="0"/>
    <x v="4"/>
    <n v="431.73287182979999"/>
    <n v="15"/>
    <n v="60.3609942135434"/>
    <x v="3"/>
  </r>
  <r>
    <s v="11/2/2023"/>
    <d v="2023-11-02T00:00:00"/>
    <s v="Thursday"/>
    <x v="10"/>
    <x v="0"/>
    <x v="0"/>
    <n v="997.72513362368704"/>
    <n v="12"/>
    <n v="337.73341093666801"/>
    <x v="0"/>
  </r>
  <r>
    <s v="11/2/2023"/>
    <d v="2023-11-02T00:00:00"/>
    <s v="Thursday"/>
    <x v="10"/>
    <x v="0"/>
    <x v="1"/>
    <n v="157.4478555195"/>
    <n v="2"/>
    <n v="383.99978334956302"/>
    <x v="2"/>
  </r>
  <r>
    <s v="11/2/2023"/>
    <d v="2023-11-02T00:00:00"/>
    <s v="Thursday"/>
    <x v="10"/>
    <x v="0"/>
    <x v="2"/>
    <n v="731.94254514299996"/>
    <n v="13"/>
    <n v="175.79659747499699"/>
    <x v="1"/>
  </r>
  <r>
    <s v="11/2/2023"/>
    <d v="2023-11-02T00:00:00"/>
    <s v="Thursday"/>
    <x v="10"/>
    <x v="0"/>
    <x v="3"/>
    <n v="96.934358797300007"/>
    <n v="7"/>
    <n v="334.55008861070701"/>
    <x v="3"/>
  </r>
  <r>
    <s v="11/2/2023"/>
    <d v="2023-11-02T00:00:00"/>
    <s v="Thursday"/>
    <x v="10"/>
    <x v="0"/>
    <x v="4"/>
    <n v="1254.7669277866"/>
    <n v="13"/>
    <n v="144.03736292570699"/>
    <x v="3"/>
  </r>
  <r>
    <s v="11/3/2023"/>
    <d v="2023-11-03T00:00:00"/>
    <s v="Friday"/>
    <x v="10"/>
    <x v="0"/>
    <x v="0"/>
    <n v="1275.6996271774999"/>
    <n v="6"/>
    <n v="275.56251784161401"/>
    <x v="3"/>
  </r>
  <r>
    <s v="11/3/2023"/>
    <d v="2023-11-03T00:00:00"/>
    <s v="Friday"/>
    <x v="10"/>
    <x v="0"/>
    <x v="1"/>
    <n v="961.92465879111001"/>
    <n v="2"/>
    <n v="375.96562666278402"/>
    <x v="3"/>
  </r>
  <r>
    <s v="11/3/2023"/>
    <d v="2023-11-03T00:00:00"/>
    <s v="Friday"/>
    <x v="10"/>
    <x v="0"/>
    <x v="2"/>
    <n v="812.99479591292095"/>
    <n v="9"/>
    <n v="308.69773572947901"/>
    <x v="2"/>
  </r>
  <r>
    <s v="11/3/2023"/>
    <d v="2023-11-03T00:00:00"/>
    <s v="Friday"/>
    <x v="10"/>
    <x v="0"/>
    <x v="3"/>
    <n v="111.515284334"/>
    <n v="19"/>
    <n v="254.48013438144699"/>
    <x v="2"/>
  </r>
  <r>
    <s v="11/3/2023"/>
    <d v="2023-11-03T00:00:00"/>
    <s v="Friday"/>
    <x v="10"/>
    <x v="0"/>
    <x v="4"/>
    <n v="729.79858524625502"/>
    <n v="11"/>
    <n v="78.375494015972905"/>
    <x v="2"/>
  </r>
  <r>
    <s v="11/4/2023"/>
    <d v="2023-11-04T00:00:00"/>
    <s v="Saturday"/>
    <x v="10"/>
    <x v="0"/>
    <x v="0"/>
    <n v="71.739978573260004"/>
    <n v="11"/>
    <n v="225.729536880323"/>
    <x v="0"/>
  </r>
  <r>
    <s v="11/4/2023"/>
    <d v="2023-11-04T00:00:00"/>
    <s v="Saturday"/>
    <x v="10"/>
    <x v="0"/>
    <x v="1"/>
    <n v="478.17948418978"/>
    <n v="2"/>
    <n v="57.182141236890097"/>
    <x v="1"/>
  </r>
  <r>
    <s v="11/4/2023"/>
    <d v="2023-11-04T00:00:00"/>
    <s v="Saturday"/>
    <x v="10"/>
    <x v="0"/>
    <x v="2"/>
    <n v="684.25597691760004"/>
    <n v="15"/>
    <n v="201.09802820078701"/>
    <x v="0"/>
  </r>
  <r>
    <s v="11/4/2023"/>
    <d v="2023-11-04T00:00:00"/>
    <s v="Saturday"/>
    <x v="10"/>
    <x v="0"/>
    <x v="3"/>
    <n v="1888.9325368921"/>
    <n v="7"/>
    <n v="624.03324796261302"/>
    <x v="1"/>
  </r>
  <r>
    <s v="11/4/2023"/>
    <d v="2023-11-04T00:00:00"/>
    <s v="Saturday"/>
    <x v="10"/>
    <x v="0"/>
    <x v="4"/>
    <n v="1322.6972464775999"/>
    <n v="6"/>
    <n v="365.73862615078201"/>
    <x v="1"/>
  </r>
  <r>
    <s v="11/5/2023"/>
    <d v="2023-11-05T00:00:00"/>
    <s v="Sunday"/>
    <x v="10"/>
    <x v="0"/>
    <x v="0"/>
    <n v="1324.5165831852"/>
    <n v="12"/>
    <n v="367.96236823703703"/>
    <x v="2"/>
  </r>
  <r>
    <s v="11/5/2023"/>
    <d v="2023-11-05T00:00:00"/>
    <s v="Sunday"/>
    <x v="10"/>
    <x v="0"/>
    <x v="1"/>
    <n v="863.84615987569998"/>
    <n v="5"/>
    <n v="308.55180073646397"/>
    <x v="2"/>
  </r>
  <r>
    <s v="11/5/2023"/>
    <d v="2023-11-05T00:00:00"/>
    <s v="Sunday"/>
    <x v="10"/>
    <x v="0"/>
    <x v="2"/>
    <n v="1232.9938851823999"/>
    <n v="10"/>
    <n v="225.08429434794101"/>
    <x v="3"/>
  </r>
  <r>
    <s v="11/5/2023"/>
    <d v="2023-11-05T00:00:00"/>
    <s v="Sunday"/>
    <x v="10"/>
    <x v="0"/>
    <x v="3"/>
    <n v="983.15971511212399"/>
    <n v="17"/>
    <n v="198.07648995214001"/>
    <x v="3"/>
  </r>
  <r>
    <s v="11/5/2023"/>
    <d v="2023-11-05T00:00:00"/>
    <s v="Sunday"/>
    <x v="10"/>
    <x v="0"/>
    <x v="4"/>
    <n v="894.74517977569997"/>
    <n v="14"/>
    <n v="308.74710962327703"/>
    <x v="0"/>
  </r>
  <r>
    <s v="11/6/2023"/>
    <d v="2023-11-06T00:00:00"/>
    <s v="Monday"/>
    <x v="10"/>
    <x v="0"/>
    <x v="0"/>
    <n v="334.49567198467503"/>
    <n v="13"/>
    <n v="103.646921671689"/>
    <x v="1"/>
  </r>
  <r>
    <s v="11/6/2023"/>
    <d v="2023-11-06T00:00:00"/>
    <s v="Monday"/>
    <x v="10"/>
    <x v="0"/>
    <x v="1"/>
    <n v="729.82289423918098"/>
    <n v="15"/>
    <n v="216.50414488052999"/>
    <x v="0"/>
  </r>
  <r>
    <s v="11/6/2023"/>
    <d v="2023-11-06T00:00:00"/>
    <s v="Monday"/>
    <x v="10"/>
    <x v="0"/>
    <x v="2"/>
    <n v="66.164514619675998"/>
    <n v="16"/>
    <n v="184.38705214024699"/>
    <x v="3"/>
  </r>
  <r>
    <s v="11/6/2023"/>
    <d v="2023-11-06T00:00:00"/>
    <s v="Monday"/>
    <x v="10"/>
    <x v="0"/>
    <x v="3"/>
    <n v="998.61349332894304"/>
    <n v="2"/>
    <n v="300.811850911058"/>
    <x v="2"/>
  </r>
  <r>
    <s v="11/6/2023"/>
    <d v="2023-11-06T00:00:00"/>
    <s v="Monday"/>
    <x v="10"/>
    <x v="0"/>
    <x v="4"/>
    <n v="1111.2421556625"/>
    <n v="6"/>
    <n v="390.77030541871397"/>
    <x v="1"/>
  </r>
  <r>
    <s v="11/7/2023"/>
    <d v="2023-11-07T00:00:00"/>
    <s v="Tuesday"/>
    <x v="10"/>
    <x v="0"/>
    <x v="0"/>
    <n v="779.62798428227995"/>
    <n v="7"/>
    <n v="122.98471249365799"/>
    <x v="0"/>
  </r>
  <r>
    <s v="11/7/2023"/>
    <d v="2023-11-07T00:00:00"/>
    <s v="Tuesday"/>
    <x v="10"/>
    <x v="0"/>
    <x v="1"/>
    <n v="394.56298528999997"/>
    <n v="8"/>
    <n v="147.11535020040401"/>
    <x v="1"/>
  </r>
  <r>
    <s v="11/7/2023"/>
    <d v="2023-11-07T00:00:00"/>
    <s v="Tuesday"/>
    <x v="10"/>
    <x v="0"/>
    <x v="2"/>
    <n v="1739.26373229976"/>
    <n v="18"/>
    <n v="352.58099924941502"/>
    <x v="3"/>
  </r>
  <r>
    <s v="11/7/2023"/>
    <d v="2023-11-07T00:00:00"/>
    <s v="Tuesday"/>
    <x v="10"/>
    <x v="0"/>
    <x v="3"/>
    <n v="198.29343298449999"/>
    <n v="9"/>
    <n v="139.89549666462401"/>
    <x v="2"/>
  </r>
  <r>
    <s v="11/7/2023"/>
    <d v="2023-11-07T00:00:00"/>
    <s v="Tuesday"/>
    <x v="10"/>
    <x v="0"/>
    <x v="4"/>
    <n v="1248.7641822478699"/>
    <n v="4"/>
    <n v="195.39370690000001"/>
    <x v="2"/>
  </r>
  <r>
    <s v="11/8/2023"/>
    <d v="2023-11-08T00:00:00"/>
    <s v="Wednesday"/>
    <x v="10"/>
    <x v="0"/>
    <x v="0"/>
    <n v="1276.835529"/>
    <n v="5"/>
    <n v="149.51835498182299"/>
    <x v="1"/>
  </r>
  <r>
    <s v="11/8/2023"/>
    <d v="2023-11-08T00:00:00"/>
    <s v="Wednesday"/>
    <x v="10"/>
    <x v="0"/>
    <x v="1"/>
    <n v="71.374147100000002"/>
    <n v="6"/>
    <n v="81.480904570939799"/>
    <x v="2"/>
  </r>
  <r>
    <s v="11/8/2023"/>
    <d v="2023-11-08T00:00:00"/>
    <s v="Wednesday"/>
    <x v="10"/>
    <x v="0"/>
    <x v="2"/>
    <n v="92.168796739900003"/>
    <n v="14"/>
    <n v="367.60024751320901"/>
    <x v="0"/>
  </r>
  <r>
    <s v="11/8/2023"/>
    <d v="2023-11-08T00:00:00"/>
    <s v="Wednesday"/>
    <x v="10"/>
    <x v="0"/>
    <x v="3"/>
    <n v="1328.41499148"/>
    <n v="13"/>
    <n v="143.444127041923"/>
    <x v="1"/>
  </r>
  <r>
    <s v="11/8/2023"/>
    <d v="2023-11-08T00:00:00"/>
    <s v="Wednesday"/>
    <x v="10"/>
    <x v="0"/>
    <x v="4"/>
    <n v="487.43725857212002"/>
    <n v="17"/>
    <n v="140.22360218069201"/>
    <x v="3"/>
  </r>
  <r>
    <s v="11/9/2023"/>
    <d v="2023-11-09T00:00:00"/>
    <s v="Thursday"/>
    <x v="10"/>
    <x v="0"/>
    <x v="0"/>
    <n v="1294.3363564374999"/>
    <n v="10"/>
    <n v="209.37779836874199"/>
    <x v="3"/>
  </r>
  <r>
    <s v="11/9/2023"/>
    <d v="2023-11-09T00:00:00"/>
    <s v="Thursday"/>
    <x v="10"/>
    <x v="0"/>
    <x v="1"/>
    <n v="1339.4914359490001"/>
    <n v="9"/>
    <n v="184.62618001766401"/>
    <x v="2"/>
  </r>
  <r>
    <s v="11/9/2023"/>
    <d v="2023-11-09T00:00:00"/>
    <s v="Thursday"/>
    <x v="10"/>
    <x v="0"/>
    <x v="2"/>
    <n v="1316.419449453"/>
    <n v="1"/>
    <n v="162.21376070598899"/>
    <x v="2"/>
  </r>
  <r>
    <s v="11/9/2023"/>
    <d v="2023-11-09T00:00:00"/>
    <s v="Thursday"/>
    <x v="10"/>
    <x v="0"/>
    <x v="3"/>
    <n v="762.9817382"/>
    <n v="3"/>
    <n v="214.15134195469699"/>
    <x v="2"/>
  </r>
  <r>
    <s v="11/9/2023"/>
    <d v="2023-11-09T00:00:00"/>
    <s v="Thursday"/>
    <x v="10"/>
    <x v="0"/>
    <x v="4"/>
    <n v="1388.4956754458001"/>
    <n v="18"/>
    <n v="486.44207017355399"/>
    <x v="3"/>
  </r>
  <r>
    <s v="11/10/2023"/>
    <d v="2023-11-10T00:00:00"/>
    <s v="Friday"/>
    <x v="10"/>
    <x v="0"/>
    <x v="0"/>
    <n v="1163.2661572100001"/>
    <n v="5"/>
    <n v="289.84957136990101"/>
    <x v="3"/>
  </r>
  <r>
    <s v="11/10/2023"/>
    <d v="2023-11-10T00:00:00"/>
    <s v="Friday"/>
    <x v="10"/>
    <x v="0"/>
    <x v="1"/>
    <n v="1269.58535187959"/>
    <n v="17"/>
    <n v="291.49274864125601"/>
    <x v="0"/>
  </r>
  <r>
    <s v="11/10/2023"/>
    <d v="2023-11-10T00:00:00"/>
    <s v="Friday"/>
    <x v="10"/>
    <x v="0"/>
    <x v="2"/>
    <n v="589.49172383792995"/>
    <n v="13"/>
    <n v="161.48391881984"/>
    <x v="1"/>
  </r>
  <r>
    <s v="11/10/2023"/>
    <d v="2023-11-10T00:00:00"/>
    <s v="Friday"/>
    <x v="10"/>
    <x v="0"/>
    <x v="3"/>
    <n v="1196.7914394878901"/>
    <n v="12"/>
    <n v="136.94129331998599"/>
    <x v="0"/>
  </r>
  <r>
    <s v="11/10/2023"/>
    <d v="2023-11-10T00:00:00"/>
    <s v="Friday"/>
    <x v="10"/>
    <x v="0"/>
    <x v="4"/>
    <n v="127.7991975187"/>
    <n v="1"/>
    <n v="126.012067938988"/>
    <x v="2"/>
  </r>
  <r>
    <s v="11/11/2023"/>
    <d v="2023-11-11T00:00:00"/>
    <s v="Saturday"/>
    <x v="10"/>
    <x v="0"/>
    <x v="0"/>
    <n v="11.164185412"/>
    <n v="16"/>
    <n v="162.62091105674699"/>
    <x v="1"/>
  </r>
  <r>
    <s v="11/11/2023"/>
    <d v="2023-11-11T00:00:00"/>
    <s v="Saturday"/>
    <x v="10"/>
    <x v="0"/>
    <x v="1"/>
    <n v="1486.6524756695001"/>
    <n v="17"/>
    <n v="261.67138073143002"/>
    <x v="1"/>
  </r>
  <r>
    <s v="11/11/2023"/>
    <d v="2023-11-11T00:00:00"/>
    <s v="Saturday"/>
    <x v="10"/>
    <x v="0"/>
    <x v="2"/>
    <n v="1141.55871493"/>
    <n v="11"/>
    <n v="399.32650766721702"/>
    <x v="2"/>
  </r>
  <r>
    <s v="11/11/2023"/>
    <d v="2023-11-11T00:00:00"/>
    <s v="Saturday"/>
    <x v="10"/>
    <x v="0"/>
    <x v="3"/>
    <n v="735.1138465967"/>
    <n v="19"/>
    <n v="274.556283459057"/>
    <x v="0"/>
  </r>
  <r>
    <s v="11/11/2023"/>
    <d v="2023-11-11T00:00:00"/>
    <s v="Saturday"/>
    <x v="10"/>
    <x v="0"/>
    <x v="4"/>
    <n v="168.74453497299999"/>
    <n v="18"/>
    <n v="422.345506504637"/>
    <x v="0"/>
  </r>
  <r>
    <s v="11/12/2023"/>
    <d v="2023-11-12T00:00:00"/>
    <s v="Sunday"/>
    <x v="10"/>
    <x v="0"/>
    <x v="0"/>
    <n v="986.57632460000002"/>
    <n v="10"/>
    <n v="115.067919514057"/>
    <x v="1"/>
  </r>
  <r>
    <s v="11/12/2023"/>
    <d v="2023-11-12T00:00:00"/>
    <s v="Sunday"/>
    <x v="10"/>
    <x v="0"/>
    <x v="1"/>
    <n v="194.28482652190999"/>
    <n v="7"/>
    <n v="397.90817881775303"/>
    <x v="0"/>
  </r>
  <r>
    <s v="11/12/2023"/>
    <d v="2023-11-12T00:00:00"/>
    <s v="Sunday"/>
    <x v="10"/>
    <x v="0"/>
    <x v="2"/>
    <n v="943.76897467410004"/>
    <n v="5"/>
    <n v="362.58657637239901"/>
    <x v="2"/>
  </r>
  <r>
    <s v="11/12/2023"/>
    <d v="2023-11-12T00:00:00"/>
    <s v="Sunday"/>
    <x v="10"/>
    <x v="0"/>
    <x v="3"/>
    <n v="985.23852514798898"/>
    <n v="4"/>
    <n v="154.749818315754"/>
    <x v="0"/>
  </r>
  <r>
    <s v="11/12/2023"/>
    <d v="2023-11-12T00:00:00"/>
    <s v="Sunday"/>
    <x v="10"/>
    <x v="0"/>
    <x v="4"/>
    <n v="1146.72516344522"/>
    <n v="1"/>
    <n v="276.037299959922"/>
    <x v="1"/>
  </r>
  <r>
    <s v="11/13/2023"/>
    <d v="2023-11-13T00:00:00"/>
    <s v="Monday"/>
    <x v="10"/>
    <x v="0"/>
    <x v="0"/>
    <n v="827.99848235215995"/>
    <n v="16"/>
    <n v="187.85873344302999"/>
    <x v="0"/>
  </r>
  <r>
    <s v="11/13/2023"/>
    <d v="2023-11-13T00:00:00"/>
    <s v="Monday"/>
    <x v="10"/>
    <x v="0"/>
    <x v="1"/>
    <n v="917.53733239739995"/>
    <n v="5"/>
    <n v="130.602174205865"/>
    <x v="2"/>
  </r>
  <r>
    <s v="11/13/2023"/>
    <d v="2023-11-13T00:00:00"/>
    <s v="Monday"/>
    <x v="10"/>
    <x v="0"/>
    <x v="2"/>
    <n v="155.89172268499999"/>
    <n v="5"/>
    <n v="194.68613271149701"/>
    <x v="3"/>
  </r>
  <r>
    <s v="11/13/2023"/>
    <d v="2023-11-13T00:00:00"/>
    <s v="Monday"/>
    <x v="10"/>
    <x v="0"/>
    <x v="3"/>
    <n v="896.86295876792201"/>
    <n v="4"/>
    <n v="338.22443772065202"/>
    <x v="0"/>
  </r>
  <r>
    <s v="11/13/2023"/>
    <d v="2023-11-13T00:00:00"/>
    <s v="Monday"/>
    <x v="10"/>
    <x v="0"/>
    <x v="4"/>
    <n v="618.28156838433995"/>
    <n v="4"/>
    <n v="188.453035329785"/>
    <x v="1"/>
  </r>
  <r>
    <s v="11/14/2023"/>
    <d v="2023-11-14T00:00:00"/>
    <s v="Tuesday"/>
    <x v="10"/>
    <x v="0"/>
    <x v="0"/>
    <n v="81.837712785950004"/>
    <n v="15"/>
    <n v="145.813163426264"/>
    <x v="2"/>
  </r>
  <r>
    <s v="11/14/2023"/>
    <d v="2023-11-14T00:00:00"/>
    <s v="Tuesday"/>
    <x v="10"/>
    <x v="0"/>
    <x v="1"/>
    <n v="921.76946123179005"/>
    <n v="19"/>
    <n v="322.35859356563202"/>
    <x v="2"/>
  </r>
  <r>
    <s v="11/14/2023"/>
    <d v="2023-11-14T00:00:00"/>
    <s v="Tuesday"/>
    <x v="10"/>
    <x v="0"/>
    <x v="2"/>
    <n v="628.43143289599004"/>
    <n v="17"/>
    <n v="93.689554888670301"/>
    <x v="3"/>
  </r>
  <r>
    <s v="11/14/2023"/>
    <d v="2023-11-14T00:00:00"/>
    <s v="Tuesday"/>
    <x v="10"/>
    <x v="0"/>
    <x v="3"/>
    <n v="995.69887851999999"/>
    <n v="1"/>
    <n v="393.97803830596598"/>
    <x v="1"/>
  </r>
  <r>
    <s v="11/14/2023"/>
    <d v="2023-11-14T00:00:00"/>
    <s v="Tuesday"/>
    <x v="10"/>
    <x v="0"/>
    <x v="4"/>
    <n v="935.67644150000001"/>
    <n v="15"/>
    <n v="342.56314372036098"/>
    <x v="2"/>
  </r>
  <r>
    <s v="11/15/2023"/>
    <d v="2023-11-15T00:00:00"/>
    <s v="Wednesday"/>
    <x v="10"/>
    <x v="0"/>
    <x v="0"/>
    <n v="165.493568928"/>
    <n v="5"/>
    <n v="367.56742164873498"/>
    <x v="3"/>
  </r>
  <r>
    <s v="11/15/2023"/>
    <d v="2023-11-15T00:00:00"/>
    <s v="Wednesday"/>
    <x v="10"/>
    <x v="0"/>
    <x v="1"/>
    <n v="98.994979756858996"/>
    <n v="12"/>
    <n v="224.314198657628"/>
    <x v="2"/>
  </r>
  <r>
    <s v="11/15/2023"/>
    <d v="2023-11-15T00:00:00"/>
    <s v="Wednesday"/>
    <x v="10"/>
    <x v="0"/>
    <x v="2"/>
    <n v="453.67417921165099"/>
    <n v="17"/>
    <n v="58.752383395787298"/>
    <x v="3"/>
  </r>
  <r>
    <s v="11/15/2023"/>
    <d v="2023-11-15T00:00:00"/>
    <s v="Wednesday"/>
    <x v="10"/>
    <x v="0"/>
    <x v="3"/>
    <n v="82.699695235419995"/>
    <n v="10"/>
    <n v="313.62969869939099"/>
    <x v="0"/>
  </r>
  <r>
    <s v="11/15/2023"/>
    <d v="2023-11-15T00:00:00"/>
    <s v="Wednesday"/>
    <x v="10"/>
    <x v="0"/>
    <x v="4"/>
    <n v="1111.6356698252"/>
    <n v="1"/>
    <n v="269.12501620467901"/>
    <x v="2"/>
  </r>
  <r>
    <s v="11/16/2023"/>
    <d v="2023-11-16T00:00:00"/>
    <s v="Thursday"/>
    <x v="10"/>
    <x v="0"/>
    <x v="0"/>
    <n v="1175.2942499359001"/>
    <n v="9"/>
    <n v="213.23276520426001"/>
    <x v="0"/>
  </r>
  <r>
    <s v="11/16/2023"/>
    <d v="2023-11-16T00:00:00"/>
    <s v="Thursday"/>
    <x v="10"/>
    <x v="0"/>
    <x v="1"/>
    <n v="1417.9543773846999"/>
    <n v="15"/>
    <n v="276.09888513491802"/>
    <x v="2"/>
  </r>
  <r>
    <s v="11/16/2023"/>
    <d v="2023-11-16T00:00:00"/>
    <s v="Thursday"/>
    <x v="10"/>
    <x v="0"/>
    <x v="2"/>
    <n v="1251.8473426948001"/>
    <n v="15"/>
    <n v="266.12918468026299"/>
    <x v="2"/>
  </r>
  <r>
    <s v="11/16/2023"/>
    <d v="2023-11-16T00:00:00"/>
    <s v="Thursday"/>
    <x v="10"/>
    <x v="0"/>
    <x v="3"/>
    <n v="728.78255951619997"/>
    <n v="7"/>
    <n v="124.251599950542"/>
    <x v="2"/>
  </r>
  <r>
    <s v="11/16/2023"/>
    <d v="2023-11-16T00:00:00"/>
    <s v="Thursday"/>
    <x v="10"/>
    <x v="0"/>
    <x v="4"/>
    <n v="971.65535756653003"/>
    <n v="3"/>
    <n v="215.27911661389101"/>
    <x v="2"/>
  </r>
  <r>
    <s v="11/17/2023"/>
    <d v="2023-11-17T00:00:00"/>
    <s v="Friday"/>
    <x v="10"/>
    <x v="0"/>
    <x v="0"/>
    <n v="1245.6411327211699"/>
    <n v="16"/>
    <n v="498.01366535174998"/>
    <x v="2"/>
  </r>
  <r>
    <s v="11/17/2023"/>
    <d v="2023-11-17T00:00:00"/>
    <s v="Friday"/>
    <x v="10"/>
    <x v="0"/>
    <x v="1"/>
    <n v="147.38728834279999"/>
    <n v="13"/>
    <n v="188.05966655288199"/>
    <x v="2"/>
  </r>
  <r>
    <s v="11/17/2023"/>
    <d v="2023-11-17T00:00:00"/>
    <s v="Friday"/>
    <x v="10"/>
    <x v="0"/>
    <x v="2"/>
    <n v="666.44853287894102"/>
    <n v="8"/>
    <n v="167.18704905842699"/>
    <x v="3"/>
  </r>
  <r>
    <s v="11/17/2023"/>
    <d v="2023-11-17T00:00:00"/>
    <s v="Friday"/>
    <x v="10"/>
    <x v="0"/>
    <x v="3"/>
    <n v="1226.7556194399999"/>
    <n v="5"/>
    <n v="172.62590966900899"/>
    <x v="1"/>
  </r>
  <r>
    <s v="11/17/2023"/>
    <d v="2023-11-17T00:00:00"/>
    <s v="Friday"/>
    <x v="10"/>
    <x v="0"/>
    <x v="4"/>
    <n v="847.85567716835101"/>
    <n v="1"/>
    <n v="160.945846588775"/>
    <x v="2"/>
  </r>
  <r>
    <s v="11/18/2023"/>
    <d v="2023-11-18T00:00:00"/>
    <s v="Saturday"/>
    <x v="10"/>
    <x v="0"/>
    <x v="0"/>
    <n v="945.94793339475996"/>
    <n v="18"/>
    <n v="171.704003618402"/>
    <x v="1"/>
  </r>
  <r>
    <s v="11/18/2023"/>
    <d v="2023-11-18T00:00:00"/>
    <s v="Saturday"/>
    <x v="10"/>
    <x v="0"/>
    <x v="1"/>
    <n v="83.278771882919997"/>
    <n v="9"/>
    <n v="162.79702696444099"/>
    <x v="2"/>
  </r>
  <r>
    <s v="11/18/2023"/>
    <d v="2023-11-18T00:00:00"/>
    <s v="Saturday"/>
    <x v="10"/>
    <x v="0"/>
    <x v="2"/>
    <n v="756.49566992620998"/>
    <n v="3"/>
    <n v="218.555440956952"/>
    <x v="0"/>
  </r>
  <r>
    <s v="11/18/2023"/>
    <d v="2023-11-18T00:00:00"/>
    <s v="Saturday"/>
    <x v="10"/>
    <x v="0"/>
    <x v="3"/>
    <n v="116.55492782420001"/>
    <n v="3"/>
    <n v="401.84606593832802"/>
    <x v="0"/>
  </r>
  <r>
    <s v="11/18/2023"/>
    <d v="2023-11-18T00:00:00"/>
    <s v="Saturday"/>
    <x v="10"/>
    <x v="0"/>
    <x v="4"/>
    <n v="182.61324634162"/>
    <n v="2"/>
    <n v="131.01851407665501"/>
    <x v="0"/>
  </r>
  <r>
    <s v="11/19/2023"/>
    <d v="2023-11-19T00:00:00"/>
    <s v="Sunday"/>
    <x v="10"/>
    <x v="0"/>
    <x v="0"/>
    <n v="1378.82274494429"/>
    <n v="15"/>
    <n v="522.06231344355103"/>
    <x v="2"/>
  </r>
  <r>
    <s v="11/19/2023"/>
    <d v="2023-11-19T00:00:00"/>
    <s v="Sunday"/>
    <x v="10"/>
    <x v="0"/>
    <x v="1"/>
    <n v="1263.3686636617999"/>
    <n v="13"/>
    <n v="445.705052840321"/>
    <x v="2"/>
  </r>
  <r>
    <s v="11/19/2023"/>
    <d v="2023-11-19T00:00:00"/>
    <s v="Sunday"/>
    <x v="10"/>
    <x v="0"/>
    <x v="2"/>
    <n v="147.64958191866"/>
    <n v="11"/>
    <n v="218.164532572501"/>
    <x v="2"/>
  </r>
  <r>
    <s v="11/19/2023"/>
    <d v="2023-11-19T00:00:00"/>
    <s v="Sunday"/>
    <x v="10"/>
    <x v="0"/>
    <x v="3"/>
    <n v="812.72397382879103"/>
    <n v="5"/>
    <n v="203.189262656149"/>
    <x v="1"/>
  </r>
  <r>
    <s v="11/19/2023"/>
    <d v="2023-11-19T00:00:00"/>
    <s v="Sunday"/>
    <x v="10"/>
    <x v="0"/>
    <x v="4"/>
    <n v="1163.7361459700001"/>
    <n v="13"/>
    <n v="128.38447720891801"/>
    <x v="0"/>
  </r>
  <r>
    <s v="11/20/2023"/>
    <d v="2023-11-20T00:00:00"/>
    <s v="Monday"/>
    <x v="10"/>
    <x v="0"/>
    <x v="0"/>
    <n v="348.52857857186501"/>
    <n v="6"/>
    <n v="118.122335819927"/>
    <x v="2"/>
  </r>
  <r>
    <s v="11/20/2023"/>
    <d v="2023-11-20T00:00:00"/>
    <s v="Monday"/>
    <x v="10"/>
    <x v="0"/>
    <x v="1"/>
    <n v="76.798732234382996"/>
    <n v="2"/>
    <n v="159.181593459688"/>
    <x v="0"/>
  </r>
  <r>
    <s v="11/20/2023"/>
    <d v="2023-11-20T00:00:00"/>
    <s v="Monday"/>
    <x v="10"/>
    <x v="0"/>
    <x v="2"/>
    <n v="125.89542151000001"/>
    <n v="4"/>
    <n v="160.19882713620299"/>
    <x v="2"/>
  </r>
  <r>
    <s v="11/20/2023"/>
    <d v="2023-11-20T00:00:00"/>
    <s v="Monday"/>
    <x v="10"/>
    <x v="0"/>
    <x v="3"/>
    <n v="598.44198767148998"/>
    <n v="18"/>
    <n v="121.83025924622601"/>
    <x v="0"/>
  </r>
  <r>
    <s v="11/20/2023"/>
    <d v="2023-11-20T00:00:00"/>
    <s v="Monday"/>
    <x v="10"/>
    <x v="0"/>
    <x v="4"/>
    <n v="1258.9656937522"/>
    <n v="8"/>
    <n v="459.00965939999998"/>
    <x v="1"/>
  </r>
  <r>
    <s v="11/21/2023"/>
    <d v="2023-11-21T00:00:00"/>
    <s v="Tuesday"/>
    <x v="10"/>
    <x v="0"/>
    <x v="0"/>
    <n v="92.313453465837995"/>
    <n v="15"/>
    <n v="97.304520381281804"/>
    <x v="1"/>
  </r>
  <r>
    <s v="11/21/2023"/>
    <d v="2023-11-21T00:00:00"/>
    <s v="Tuesday"/>
    <x v="10"/>
    <x v="0"/>
    <x v="1"/>
    <n v="131.9546755133"/>
    <n v="8"/>
    <n v="379.69971621093498"/>
    <x v="1"/>
  </r>
  <r>
    <s v="11/21/2023"/>
    <d v="2023-11-21T00:00:00"/>
    <s v="Tuesday"/>
    <x v="10"/>
    <x v="0"/>
    <x v="2"/>
    <n v="1343.88272542"/>
    <n v="10"/>
    <n v="436.95706408996801"/>
    <x v="3"/>
  </r>
  <r>
    <s v="11/21/2023"/>
    <d v="2023-11-21T00:00:00"/>
    <s v="Tuesday"/>
    <x v="10"/>
    <x v="0"/>
    <x v="3"/>
    <n v="148.74867587860001"/>
    <n v="9"/>
    <n v="21.368431927739302"/>
    <x v="0"/>
  </r>
  <r>
    <s v="11/21/2023"/>
    <d v="2023-11-21T00:00:00"/>
    <s v="Tuesday"/>
    <x v="10"/>
    <x v="0"/>
    <x v="4"/>
    <n v="733.81162343267999"/>
    <n v="7"/>
    <n v="202.91757469547699"/>
    <x v="3"/>
  </r>
  <r>
    <s v="11/22/2023"/>
    <d v="2023-11-22T00:00:00"/>
    <s v="Wednesday"/>
    <x v="10"/>
    <x v="0"/>
    <x v="0"/>
    <n v="1231.5388531768999"/>
    <n v="8"/>
    <n v="210.61302432358499"/>
    <x v="3"/>
  </r>
  <r>
    <s v="11/22/2023"/>
    <d v="2023-11-22T00:00:00"/>
    <s v="Wednesday"/>
    <x v="10"/>
    <x v="0"/>
    <x v="1"/>
    <n v="139.982252348"/>
    <n v="5"/>
    <n v="184.429641789383"/>
    <x v="0"/>
  </r>
  <r>
    <s v="11/22/2023"/>
    <d v="2023-11-22T00:00:00"/>
    <s v="Wednesday"/>
    <x v="10"/>
    <x v="0"/>
    <x v="2"/>
    <n v="784.71538112860003"/>
    <n v="1"/>
    <n v="205.88692362894599"/>
    <x v="0"/>
  </r>
  <r>
    <s v="11/22/2023"/>
    <d v="2023-11-22T00:00:00"/>
    <s v="Wednesday"/>
    <x v="10"/>
    <x v="0"/>
    <x v="3"/>
    <n v="565.92379591420001"/>
    <n v="16"/>
    <n v="175.788887620541"/>
    <x v="0"/>
  </r>
  <r>
    <s v="11/22/2023"/>
    <d v="2023-11-22T00:00:00"/>
    <s v="Wednesday"/>
    <x v="10"/>
    <x v="0"/>
    <x v="4"/>
    <n v="982.24427677418998"/>
    <n v="16"/>
    <n v="241.400988455538"/>
    <x v="2"/>
  </r>
  <r>
    <s v="11/23/2023"/>
    <d v="2023-11-23T00:00:00"/>
    <s v="Thursday"/>
    <x v="10"/>
    <x v="0"/>
    <x v="0"/>
    <n v="1211.9165296599999"/>
    <n v="18"/>
    <n v="285.21124729836401"/>
    <x v="3"/>
  </r>
  <r>
    <s v="11/23/2023"/>
    <d v="2023-11-23T00:00:00"/>
    <s v="Thursday"/>
    <x v="10"/>
    <x v="0"/>
    <x v="1"/>
    <n v="879.95774746425195"/>
    <n v="18"/>
    <n v="242.754515443635"/>
    <x v="3"/>
  </r>
  <r>
    <s v="11/23/2023"/>
    <d v="2023-11-23T00:00:00"/>
    <s v="Thursday"/>
    <x v="10"/>
    <x v="0"/>
    <x v="2"/>
    <n v="784.33287540000003"/>
    <n v="6"/>
    <n v="274.13797904092303"/>
    <x v="2"/>
  </r>
  <r>
    <s v="11/23/2023"/>
    <d v="2023-11-23T00:00:00"/>
    <s v="Thursday"/>
    <x v="10"/>
    <x v="0"/>
    <x v="3"/>
    <n v="161.22616824900001"/>
    <n v="6"/>
    <n v="261.11170078037298"/>
    <x v="3"/>
  </r>
  <r>
    <s v="11/23/2023"/>
    <d v="2023-11-23T00:00:00"/>
    <s v="Thursday"/>
    <x v="10"/>
    <x v="0"/>
    <x v="4"/>
    <n v="1211.3239941659999"/>
    <n v="16"/>
    <n v="257.64266524673201"/>
    <x v="2"/>
  </r>
  <r>
    <s v="11/24/2023"/>
    <d v="2023-11-24T00:00:00"/>
    <s v="Friday"/>
    <x v="10"/>
    <x v="0"/>
    <x v="0"/>
    <n v="1646.4786321494"/>
    <n v="13"/>
    <n v="391.22230776104499"/>
    <x v="2"/>
  </r>
  <r>
    <s v="11/24/2023"/>
    <d v="2023-11-24T00:00:00"/>
    <s v="Friday"/>
    <x v="10"/>
    <x v="0"/>
    <x v="1"/>
    <n v="792.58461544653301"/>
    <n v="15"/>
    <n v="190.608814802506"/>
    <x v="0"/>
  </r>
  <r>
    <s v="11/24/2023"/>
    <d v="2023-11-24T00:00:00"/>
    <s v="Friday"/>
    <x v="10"/>
    <x v="0"/>
    <x v="2"/>
    <n v="126.2693559824"/>
    <n v="13"/>
    <n v="458.47176507600699"/>
    <x v="2"/>
  </r>
  <r>
    <s v="11/24/2023"/>
    <d v="2023-11-24T00:00:00"/>
    <s v="Friday"/>
    <x v="10"/>
    <x v="0"/>
    <x v="3"/>
    <n v="1167.58795982635"/>
    <n v="10"/>
    <n v="461.63248462583198"/>
    <x v="2"/>
  </r>
  <r>
    <s v="11/24/2023"/>
    <d v="2023-11-24T00:00:00"/>
    <s v="Friday"/>
    <x v="10"/>
    <x v="0"/>
    <x v="4"/>
    <n v="213.33425363771701"/>
    <n v="16"/>
    <n v="61.725089390000001"/>
    <x v="1"/>
  </r>
  <r>
    <s v="11/25/2023"/>
    <d v="2023-11-25T00:00:00"/>
    <s v="Saturday"/>
    <x v="10"/>
    <x v="0"/>
    <x v="0"/>
    <n v="1144.7815421769999"/>
    <n v="11"/>
    <n v="213.74916242235301"/>
    <x v="3"/>
  </r>
  <r>
    <s v="11/25/2023"/>
    <d v="2023-11-25T00:00:00"/>
    <s v="Saturday"/>
    <x v="10"/>
    <x v="0"/>
    <x v="1"/>
    <n v="683.46769735586497"/>
    <n v="5"/>
    <n v="267.81903683722697"/>
    <x v="3"/>
  </r>
  <r>
    <s v="11/25/2023"/>
    <d v="2023-11-25T00:00:00"/>
    <s v="Saturday"/>
    <x v="10"/>
    <x v="0"/>
    <x v="2"/>
    <n v="1258.4395768984"/>
    <n v="13"/>
    <n v="318.065139634491"/>
    <x v="0"/>
  </r>
  <r>
    <s v="11/25/2023"/>
    <d v="2023-11-25T00:00:00"/>
    <s v="Saturday"/>
    <x v="10"/>
    <x v="0"/>
    <x v="3"/>
    <n v="175.39499447143001"/>
    <n v="13"/>
    <n v="238.81246035986999"/>
    <x v="3"/>
  </r>
  <r>
    <s v="11/25/2023"/>
    <d v="2023-11-25T00:00:00"/>
    <s v="Saturday"/>
    <x v="10"/>
    <x v="0"/>
    <x v="4"/>
    <n v="1441.3147245130001"/>
    <n v="14"/>
    <n v="509.780864963358"/>
    <x v="3"/>
  </r>
  <r>
    <s v="11/26/2023"/>
    <d v="2023-11-26T00:00:00"/>
    <s v="Sunday"/>
    <x v="10"/>
    <x v="0"/>
    <x v="0"/>
    <n v="79.151433949769995"/>
    <n v="15"/>
    <n v="176.47098593071701"/>
    <x v="2"/>
  </r>
  <r>
    <s v="11/26/2023"/>
    <d v="2023-11-26T00:00:00"/>
    <s v="Sunday"/>
    <x v="10"/>
    <x v="0"/>
    <x v="1"/>
    <n v="938.85362499999997"/>
    <n v="17"/>
    <n v="365.85503044751903"/>
    <x v="3"/>
  </r>
  <r>
    <s v="11/26/2023"/>
    <d v="2023-11-26T00:00:00"/>
    <s v="Sunday"/>
    <x v="10"/>
    <x v="0"/>
    <x v="2"/>
    <n v="1194.1295179917399"/>
    <n v="19"/>
    <n v="240.67926882874201"/>
    <x v="1"/>
  </r>
  <r>
    <s v="11/26/2023"/>
    <d v="2023-11-26T00:00:00"/>
    <s v="Sunday"/>
    <x v="10"/>
    <x v="0"/>
    <x v="3"/>
    <n v="187.86777746409999"/>
    <n v="14"/>
    <n v="350.95347024570799"/>
    <x v="3"/>
  </r>
  <r>
    <s v="11/26/2023"/>
    <d v="2023-11-26T00:00:00"/>
    <s v="Sunday"/>
    <x v="10"/>
    <x v="0"/>
    <x v="4"/>
    <n v="983.15646444380002"/>
    <n v="1"/>
    <n v="134.182744944603"/>
    <x v="2"/>
  </r>
  <r>
    <s v="11/27/2023"/>
    <d v="2023-11-27T00:00:00"/>
    <s v="Monday"/>
    <x v="10"/>
    <x v="0"/>
    <x v="0"/>
    <n v="72.141996743359996"/>
    <n v="1"/>
    <n v="154.54596454051199"/>
    <x v="2"/>
  </r>
  <r>
    <s v="11/27/2023"/>
    <d v="2023-11-27T00:00:00"/>
    <s v="Monday"/>
    <x v="10"/>
    <x v="0"/>
    <x v="1"/>
    <n v="566.43842676331997"/>
    <n v="6"/>
    <n v="145.04765309560801"/>
    <x v="3"/>
  </r>
  <r>
    <s v="11/27/2023"/>
    <d v="2023-11-27T00:00:00"/>
    <s v="Monday"/>
    <x v="10"/>
    <x v="0"/>
    <x v="2"/>
    <n v="1286.5877116216"/>
    <n v="8"/>
    <n v="260.45646886098802"/>
    <x v="1"/>
  </r>
  <r>
    <s v="11/27/2023"/>
    <d v="2023-11-27T00:00:00"/>
    <s v="Monday"/>
    <x v="10"/>
    <x v="0"/>
    <x v="3"/>
    <n v="988.37713153136997"/>
    <n v="12"/>
    <n v="340.113500136038"/>
    <x v="2"/>
  </r>
  <r>
    <s v="11/27/2023"/>
    <d v="2023-11-27T00:00:00"/>
    <s v="Monday"/>
    <x v="10"/>
    <x v="0"/>
    <x v="4"/>
    <n v="1169.891961627"/>
    <n v="5"/>
    <n v="218.471591755307"/>
    <x v="1"/>
  </r>
  <r>
    <s v="11/28/2023"/>
    <d v="2023-11-28T00:00:00"/>
    <s v="Tuesday"/>
    <x v="10"/>
    <x v="0"/>
    <x v="0"/>
    <n v="833.46587911686004"/>
    <n v="5"/>
    <n v="95.813607135384103"/>
    <x v="0"/>
  </r>
  <r>
    <s v="11/28/2023"/>
    <d v="2023-11-28T00:00:00"/>
    <s v="Tuesday"/>
    <x v="10"/>
    <x v="0"/>
    <x v="1"/>
    <n v="1114.4838447530001"/>
    <n v="7"/>
    <n v="327.12903705027702"/>
    <x v="0"/>
  </r>
  <r>
    <s v="11/28/2023"/>
    <d v="2023-11-28T00:00:00"/>
    <s v="Tuesday"/>
    <x v="10"/>
    <x v="0"/>
    <x v="2"/>
    <n v="969.73438733617797"/>
    <n v="19"/>
    <n v="376.36364447548198"/>
    <x v="1"/>
  </r>
  <r>
    <s v="11/28/2023"/>
    <d v="2023-11-28T00:00:00"/>
    <s v="Tuesday"/>
    <x v="10"/>
    <x v="0"/>
    <x v="3"/>
    <n v="489.25545948822997"/>
    <n v="8"/>
    <n v="132.12712092259099"/>
    <x v="1"/>
  </r>
  <r>
    <s v="11/28/2023"/>
    <d v="2023-11-28T00:00:00"/>
    <s v="Tuesday"/>
    <x v="10"/>
    <x v="0"/>
    <x v="4"/>
    <n v="15.54582119692"/>
    <n v="2"/>
    <n v="301.44669911673702"/>
    <x v="0"/>
  </r>
  <r>
    <s v="11/29/2023"/>
    <d v="2023-11-29T00:00:00"/>
    <s v="Wednesday"/>
    <x v="10"/>
    <x v="0"/>
    <x v="0"/>
    <n v="1113.9514671855"/>
    <n v="6"/>
    <n v="334.407732688257"/>
    <x v="0"/>
  </r>
  <r>
    <s v="11/29/2023"/>
    <d v="2023-11-29T00:00:00"/>
    <s v="Wednesday"/>
    <x v="10"/>
    <x v="0"/>
    <x v="1"/>
    <n v="96.212750999999997"/>
    <n v="2"/>
    <n v="316.54284343151602"/>
    <x v="2"/>
  </r>
  <r>
    <s v="11/29/2023"/>
    <d v="2023-11-29T00:00:00"/>
    <s v="Wednesday"/>
    <x v="10"/>
    <x v="0"/>
    <x v="2"/>
    <n v="643.31974139510999"/>
    <n v="1"/>
    <n v="167.876940949866"/>
    <x v="0"/>
  </r>
  <r>
    <s v="11/29/2023"/>
    <d v="2023-11-29T00:00:00"/>
    <s v="Wednesday"/>
    <x v="10"/>
    <x v="0"/>
    <x v="3"/>
    <n v="985.35953761563997"/>
    <n v="13"/>
    <n v="161.45783021616899"/>
    <x v="3"/>
  </r>
  <r>
    <s v="11/29/2023"/>
    <d v="2023-11-29T00:00:00"/>
    <s v="Wednesday"/>
    <x v="10"/>
    <x v="0"/>
    <x v="4"/>
    <n v="762.73546249162996"/>
    <n v="7"/>
    <n v="134.21068188199999"/>
    <x v="1"/>
  </r>
  <r>
    <s v="11/30/2023"/>
    <d v="2023-11-30T00:00:00"/>
    <s v="Thursday"/>
    <x v="10"/>
    <x v="0"/>
    <x v="0"/>
    <n v="11.224288684399999"/>
    <n v="3"/>
    <n v="289.61583717263898"/>
    <x v="3"/>
  </r>
  <r>
    <s v="11/30/2023"/>
    <d v="2023-11-30T00:00:00"/>
    <s v="Thursday"/>
    <x v="10"/>
    <x v="0"/>
    <x v="1"/>
    <n v="7.9884316999999996"/>
    <n v="1"/>
    <n v="9.7956962450000002"/>
    <x v="2"/>
  </r>
  <r>
    <s v="11/30/2023"/>
    <d v="2023-11-30T00:00:00"/>
    <s v="Thursday"/>
    <x v="10"/>
    <x v="0"/>
    <x v="2"/>
    <n v="138.59588438626"/>
    <n v="16"/>
    <n v="131.7375136"/>
    <x v="3"/>
  </r>
  <r>
    <s v="11/30/2023"/>
    <d v="2023-11-30T00:00:00"/>
    <s v="Thursday"/>
    <x v="10"/>
    <x v="0"/>
    <x v="3"/>
    <n v="961.69657838320995"/>
    <n v="12"/>
    <n v="133.359210330916"/>
    <x v="2"/>
  </r>
  <r>
    <s v="11/30/2023"/>
    <d v="2023-11-30T00:00:00"/>
    <s v="Thursday"/>
    <x v="10"/>
    <x v="0"/>
    <x v="4"/>
    <n v="124.75296913530001"/>
    <n v="18"/>
    <n v="293.84955446981201"/>
    <x v="1"/>
  </r>
  <r>
    <s v="12/1/2023"/>
    <d v="2023-12-01T00:00:00"/>
    <s v="Friday"/>
    <x v="11"/>
    <x v="0"/>
    <x v="0"/>
    <n v="186.94729496514"/>
    <n v="17"/>
    <n v="317.12833931416998"/>
    <x v="2"/>
  </r>
  <r>
    <s v="12/1/2023"/>
    <d v="2023-12-01T00:00:00"/>
    <s v="Friday"/>
    <x v="11"/>
    <x v="0"/>
    <x v="1"/>
    <n v="1178.312788723"/>
    <n v="16"/>
    <n v="370.01700716351797"/>
    <x v="3"/>
  </r>
  <r>
    <s v="12/1/2023"/>
    <d v="2023-12-01T00:00:00"/>
    <s v="Friday"/>
    <x v="11"/>
    <x v="0"/>
    <x v="2"/>
    <n v="859.24774161396999"/>
    <n v="4"/>
    <n v="238.933232807503"/>
    <x v="3"/>
  </r>
  <r>
    <s v="12/1/2023"/>
    <d v="2023-12-01T00:00:00"/>
    <s v="Friday"/>
    <x v="11"/>
    <x v="0"/>
    <x v="3"/>
    <n v="137.27434462823999"/>
    <n v="16"/>
    <n v="322.54278458208302"/>
    <x v="2"/>
  </r>
  <r>
    <s v="12/1/2023"/>
    <d v="2023-12-01T00:00:00"/>
    <s v="Friday"/>
    <x v="11"/>
    <x v="0"/>
    <x v="4"/>
    <n v="138.82393286589999"/>
    <n v="14"/>
    <n v="359.136451567086"/>
    <x v="0"/>
  </r>
  <r>
    <s v="12/2/2023"/>
    <d v="2023-12-02T00:00:00"/>
    <s v="Saturday"/>
    <x v="11"/>
    <x v="0"/>
    <x v="0"/>
    <n v="1239.157812122"/>
    <n v="17"/>
    <n v="300.290698702356"/>
    <x v="1"/>
  </r>
  <r>
    <s v="12/2/2023"/>
    <d v="2023-12-02T00:00:00"/>
    <s v="Saturday"/>
    <x v="11"/>
    <x v="0"/>
    <x v="1"/>
    <n v="115.11156918899999"/>
    <n v="19"/>
    <n v="344.18217656430397"/>
    <x v="3"/>
  </r>
  <r>
    <s v="12/2/2023"/>
    <d v="2023-12-02T00:00:00"/>
    <s v="Saturday"/>
    <x v="11"/>
    <x v="0"/>
    <x v="2"/>
    <n v="119.6595994986"/>
    <n v="13"/>
    <n v="406.77662421091298"/>
    <x v="2"/>
  </r>
  <r>
    <s v="12/2/2023"/>
    <d v="2023-12-02T00:00:00"/>
    <s v="Saturday"/>
    <x v="11"/>
    <x v="0"/>
    <x v="3"/>
    <n v="183.72515753549999"/>
    <n v="18"/>
    <n v="299.50987764335702"/>
    <x v="3"/>
  </r>
  <r>
    <s v="12/2/2023"/>
    <d v="2023-12-02T00:00:00"/>
    <s v="Saturday"/>
    <x v="11"/>
    <x v="0"/>
    <x v="4"/>
    <n v="187.46913459000001"/>
    <n v="17"/>
    <n v="408.16173125154103"/>
    <x v="2"/>
  </r>
  <r>
    <s v="12/3/2023"/>
    <d v="2023-12-03T00:00:00"/>
    <s v="Sunday"/>
    <x v="11"/>
    <x v="0"/>
    <x v="0"/>
    <n v="979.93271749999997"/>
    <n v="4"/>
    <n v="385.602781852833"/>
    <x v="3"/>
  </r>
  <r>
    <s v="12/3/2023"/>
    <d v="2023-12-03T00:00:00"/>
    <s v="Sunday"/>
    <x v="11"/>
    <x v="0"/>
    <x v="1"/>
    <n v="1436.39694364876"/>
    <n v="11"/>
    <n v="275.112971661605"/>
    <x v="2"/>
  </r>
  <r>
    <s v="12/3/2023"/>
    <d v="2023-12-03T00:00:00"/>
    <s v="Sunday"/>
    <x v="11"/>
    <x v="0"/>
    <x v="2"/>
    <n v="939.77952459942003"/>
    <n v="17"/>
    <n v="103.89053551148"/>
    <x v="3"/>
  </r>
  <r>
    <s v="12/3/2023"/>
    <d v="2023-12-03T00:00:00"/>
    <s v="Sunday"/>
    <x v="11"/>
    <x v="0"/>
    <x v="3"/>
    <n v="623.16121161686499"/>
    <n v="3"/>
    <n v="164.036337965277"/>
    <x v="3"/>
  </r>
  <r>
    <s v="12/3/2023"/>
    <d v="2023-12-03T00:00:00"/>
    <s v="Sunday"/>
    <x v="11"/>
    <x v="0"/>
    <x v="4"/>
    <n v="928.82488614199997"/>
    <n v="18"/>
    <n v="184.48620040911501"/>
    <x v="3"/>
  </r>
  <r>
    <s v="12/4/2023"/>
    <d v="2023-12-04T00:00:00"/>
    <s v="Monday"/>
    <x v="11"/>
    <x v="0"/>
    <x v="0"/>
    <n v="852.31362841223995"/>
    <n v="17"/>
    <n v="132.39034681739699"/>
    <x v="2"/>
  </r>
  <r>
    <s v="12/4/2023"/>
    <d v="2023-12-04T00:00:00"/>
    <s v="Monday"/>
    <x v="11"/>
    <x v="0"/>
    <x v="1"/>
    <n v="1474.7664979374999"/>
    <n v="2"/>
    <n v="181.376694350044"/>
    <x v="0"/>
  </r>
  <r>
    <s v="12/4/2023"/>
    <d v="2023-12-04T00:00:00"/>
    <s v="Monday"/>
    <x v="11"/>
    <x v="0"/>
    <x v="2"/>
    <n v="922.73452865648005"/>
    <n v="6"/>
    <n v="208.24263005923299"/>
    <x v="2"/>
  </r>
  <r>
    <s v="12/4/2023"/>
    <d v="2023-12-04T00:00:00"/>
    <s v="Monday"/>
    <x v="11"/>
    <x v="0"/>
    <x v="3"/>
    <n v="13.394873562980001"/>
    <n v="5"/>
    <n v="210.00567042240499"/>
    <x v="2"/>
  </r>
  <r>
    <s v="12/4/2023"/>
    <d v="2023-12-04T00:00:00"/>
    <s v="Monday"/>
    <x v="11"/>
    <x v="0"/>
    <x v="4"/>
    <n v="711.55648857899996"/>
    <n v="15"/>
    <n v="82.314828246025002"/>
    <x v="2"/>
  </r>
  <r>
    <s v="12/5/2023"/>
    <d v="2023-12-05T00:00:00"/>
    <s v="Tuesday"/>
    <x v="11"/>
    <x v="0"/>
    <x v="0"/>
    <n v="1166.29219328728"/>
    <n v="7"/>
    <n v="239.97484993901199"/>
    <x v="2"/>
  </r>
  <r>
    <s v="12/5/2023"/>
    <d v="2023-12-05T00:00:00"/>
    <s v="Tuesday"/>
    <x v="11"/>
    <x v="0"/>
    <x v="1"/>
    <n v="1288.7249224849199"/>
    <n v="10"/>
    <n v="232.30311764431701"/>
    <x v="2"/>
  </r>
  <r>
    <s v="12/5/2023"/>
    <d v="2023-12-05T00:00:00"/>
    <s v="Tuesday"/>
    <x v="11"/>
    <x v="0"/>
    <x v="2"/>
    <n v="746.29868651766003"/>
    <n v="16"/>
    <n v="102.322879742059"/>
    <x v="1"/>
  </r>
  <r>
    <s v="12/5/2023"/>
    <d v="2023-12-05T00:00:00"/>
    <s v="Tuesday"/>
    <x v="11"/>
    <x v="0"/>
    <x v="3"/>
    <n v="995.77312279980003"/>
    <n v="18"/>
    <n v="137.583060562996"/>
    <x v="0"/>
  </r>
  <r>
    <s v="12/5/2023"/>
    <d v="2023-12-05T00:00:00"/>
    <s v="Tuesday"/>
    <x v="11"/>
    <x v="0"/>
    <x v="4"/>
    <n v="131.97871499999999"/>
    <n v="8"/>
    <n v="233.72364942780999"/>
    <x v="2"/>
  </r>
  <r>
    <s v="12/6/2023"/>
    <d v="2023-12-06T00:00:00"/>
    <s v="Wednesday"/>
    <x v="11"/>
    <x v="0"/>
    <x v="0"/>
    <n v="1384.64722183"/>
    <n v="19"/>
    <n v="222.40692019093601"/>
    <x v="3"/>
  </r>
  <r>
    <s v="12/6/2023"/>
    <d v="2023-12-06T00:00:00"/>
    <s v="Wednesday"/>
    <x v="11"/>
    <x v="0"/>
    <x v="1"/>
    <n v="1176.3567664413199"/>
    <n v="4"/>
    <n v="374.38839634554802"/>
    <x v="1"/>
  </r>
  <r>
    <s v="12/6/2023"/>
    <d v="2023-12-06T00:00:00"/>
    <s v="Wednesday"/>
    <x v="11"/>
    <x v="0"/>
    <x v="2"/>
    <n v="1185.9216354186001"/>
    <n v="12"/>
    <n v="327.833591157304"/>
    <x v="1"/>
  </r>
  <r>
    <s v="12/6/2023"/>
    <d v="2023-12-06T00:00:00"/>
    <s v="Wednesday"/>
    <x v="11"/>
    <x v="0"/>
    <x v="3"/>
    <n v="145.25569929700001"/>
    <n v="18"/>
    <n v="222.731652939583"/>
    <x v="3"/>
  </r>
  <r>
    <s v="12/6/2023"/>
    <d v="2023-12-06T00:00:00"/>
    <s v="Wednesday"/>
    <x v="11"/>
    <x v="0"/>
    <x v="4"/>
    <n v="83.896257887740006"/>
    <n v="2"/>
    <n v="230.04862390480801"/>
    <x v="3"/>
  </r>
  <r>
    <s v="12/7/2023"/>
    <d v="2023-12-07T00:00:00"/>
    <s v="Thursday"/>
    <x v="11"/>
    <x v="0"/>
    <x v="0"/>
    <n v="125.67692388952"/>
    <n v="19"/>
    <n v="289.25681833369299"/>
    <x v="3"/>
  </r>
  <r>
    <s v="12/7/2023"/>
    <d v="2023-12-07T00:00:00"/>
    <s v="Thursday"/>
    <x v="11"/>
    <x v="0"/>
    <x v="1"/>
    <n v="957.55424196960996"/>
    <n v="2"/>
    <n v="126.88872587803699"/>
    <x v="0"/>
  </r>
  <r>
    <s v="12/7/2023"/>
    <d v="2023-12-07T00:00:00"/>
    <s v="Thursday"/>
    <x v="11"/>
    <x v="0"/>
    <x v="2"/>
    <n v="196.41289572443"/>
    <n v="18"/>
    <n v="118.677013270055"/>
    <x v="2"/>
  </r>
  <r>
    <s v="12/7/2023"/>
    <d v="2023-12-07T00:00:00"/>
    <s v="Thursday"/>
    <x v="11"/>
    <x v="0"/>
    <x v="3"/>
    <n v="856.43859873113001"/>
    <n v="3"/>
    <n v="340.92543391883402"/>
    <x v="1"/>
  </r>
  <r>
    <s v="12/7/2023"/>
    <d v="2023-12-07T00:00:00"/>
    <s v="Thursday"/>
    <x v="11"/>
    <x v="0"/>
    <x v="4"/>
    <n v="1354.4731492574001"/>
    <n v="7"/>
    <n v="161.00892414856901"/>
    <x v="3"/>
  </r>
  <r>
    <s v="12/8/2023"/>
    <d v="2023-12-08T00:00:00"/>
    <s v="Friday"/>
    <x v="11"/>
    <x v="0"/>
    <x v="0"/>
    <n v="173.96215843780001"/>
    <n v="11"/>
    <n v="186.899876102501"/>
    <x v="0"/>
  </r>
  <r>
    <s v="12/8/2023"/>
    <d v="2023-12-08T00:00:00"/>
    <s v="Friday"/>
    <x v="11"/>
    <x v="0"/>
    <x v="1"/>
    <n v="975.26595927000005"/>
    <n v="12"/>
    <n v="102.15824973926701"/>
    <x v="1"/>
  </r>
  <r>
    <s v="12/8/2023"/>
    <d v="2023-12-08T00:00:00"/>
    <s v="Friday"/>
    <x v="11"/>
    <x v="0"/>
    <x v="2"/>
    <n v="1629.92751949796"/>
    <n v="13"/>
    <n v="597.57047363363495"/>
    <x v="3"/>
  </r>
  <r>
    <s v="12/8/2023"/>
    <d v="2023-12-08T00:00:00"/>
    <s v="Friday"/>
    <x v="11"/>
    <x v="0"/>
    <x v="3"/>
    <n v="227.94272689557999"/>
    <n v="19"/>
    <n v="61.534381338193803"/>
    <x v="0"/>
  </r>
  <r>
    <s v="12/8/2023"/>
    <d v="2023-12-08T00:00:00"/>
    <s v="Friday"/>
    <x v="11"/>
    <x v="0"/>
    <x v="4"/>
    <n v="97.869938300000001"/>
    <n v="18"/>
    <n v="105.17470614229801"/>
    <x v="1"/>
  </r>
  <r>
    <s v="12/9/2023"/>
    <d v="2023-12-09T00:00:00"/>
    <s v="Saturday"/>
    <x v="11"/>
    <x v="0"/>
    <x v="0"/>
    <n v="75.252646538099995"/>
    <n v="2"/>
    <n v="274.34325951622202"/>
    <x v="2"/>
  </r>
  <r>
    <s v="12/9/2023"/>
    <d v="2023-12-09T00:00:00"/>
    <s v="Saturday"/>
    <x v="11"/>
    <x v="0"/>
    <x v="1"/>
    <n v="578.57798789661001"/>
    <n v="3"/>
    <n v="210.830833463207"/>
    <x v="3"/>
  </r>
  <r>
    <s v="12/9/2023"/>
    <d v="2023-12-09T00:00:00"/>
    <s v="Saturday"/>
    <x v="11"/>
    <x v="0"/>
    <x v="2"/>
    <n v="817.59815711882004"/>
    <n v="17"/>
    <n v="204.180911433125"/>
    <x v="2"/>
  </r>
  <r>
    <s v="12/9/2023"/>
    <d v="2023-12-09T00:00:00"/>
    <s v="Saturday"/>
    <x v="11"/>
    <x v="0"/>
    <x v="3"/>
    <n v="695.65681987774997"/>
    <n v="14"/>
    <n v="74.153143148410507"/>
    <x v="0"/>
  </r>
  <r>
    <s v="12/9/2023"/>
    <d v="2023-12-09T00:00:00"/>
    <s v="Saturday"/>
    <x v="11"/>
    <x v="0"/>
    <x v="4"/>
    <n v="933.36711422240001"/>
    <n v="5"/>
    <n v="121.60137615406499"/>
    <x v="2"/>
  </r>
  <r>
    <s v="12/10/2023"/>
    <d v="2023-12-10T00:00:00"/>
    <s v="Sunday"/>
    <x v="11"/>
    <x v="0"/>
    <x v="0"/>
    <n v="887.63896565499999"/>
    <n v="2"/>
    <n v="355.00138049999998"/>
    <x v="1"/>
  </r>
  <r>
    <s v="12/10/2023"/>
    <d v="2023-12-10T00:00:00"/>
    <s v="Sunday"/>
    <x v="11"/>
    <x v="0"/>
    <x v="1"/>
    <n v="744.28397177767999"/>
    <n v="1"/>
    <n v="279.991026412314"/>
    <x v="3"/>
  </r>
  <r>
    <s v="12/10/2023"/>
    <d v="2023-12-10T00:00:00"/>
    <s v="Sunday"/>
    <x v="11"/>
    <x v="0"/>
    <x v="2"/>
    <n v="1142.69683276"/>
    <n v="11"/>
    <n v="139.12037880101201"/>
    <x v="3"/>
  </r>
  <r>
    <s v="12/10/2023"/>
    <d v="2023-12-10T00:00:00"/>
    <s v="Sunday"/>
    <x v="11"/>
    <x v="0"/>
    <x v="3"/>
    <n v="485.66378388245198"/>
    <n v="10"/>
    <n v="86.237948091189693"/>
    <x v="2"/>
  </r>
  <r>
    <s v="12/10/2023"/>
    <d v="2023-12-10T00:00:00"/>
    <s v="Sunday"/>
    <x v="11"/>
    <x v="0"/>
    <x v="4"/>
    <n v="147.53273174399999"/>
    <n v="14"/>
    <n v="231.061752147416"/>
    <x v="3"/>
  </r>
  <r>
    <s v="12/11/2023"/>
    <d v="2023-12-11T00:00:00"/>
    <s v="Monday"/>
    <x v="11"/>
    <x v="0"/>
    <x v="0"/>
    <n v="1212.449336447"/>
    <n v="8"/>
    <n v="209.82466551493499"/>
    <x v="3"/>
  </r>
  <r>
    <s v="12/11/2023"/>
    <d v="2023-12-11T00:00:00"/>
    <s v="Monday"/>
    <x v="11"/>
    <x v="0"/>
    <x v="1"/>
    <n v="199.34395275630999"/>
    <n v="5"/>
    <n v="144.50955869270899"/>
    <x v="2"/>
  </r>
  <r>
    <s v="12/11/2023"/>
    <d v="2023-12-11T00:00:00"/>
    <s v="Monday"/>
    <x v="11"/>
    <x v="0"/>
    <x v="2"/>
    <n v="882.43697383940003"/>
    <n v="15"/>
    <n v="92.296885341748194"/>
    <x v="0"/>
  </r>
  <r>
    <s v="12/11/2023"/>
    <d v="2023-12-11T00:00:00"/>
    <s v="Monday"/>
    <x v="11"/>
    <x v="0"/>
    <x v="3"/>
    <n v="694.67772769140004"/>
    <n v="2"/>
    <n v="144.82647422181299"/>
    <x v="3"/>
  </r>
  <r>
    <s v="12/11/2023"/>
    <d v="2023-12-11T00:00:00"/>
    <s v="Monday"/>
    <x v="11"/>
    <x v="0"/>
    <x v="4"/>
    <n v="851.44793554900002"/>
    <n v="14"/>
    <n v="130.151263987074"/>
    <x v="2"/>
  </r>
  <r>
    <s v="12/12/2023"/>
    <d v="2023-12-12T00:00:00"/>
    <s v="Tuesday"/>
    <x v="11"/>
    <x v="0"/>
    <x v="0"/>
    <n v="653.95227224563996"/>
    <n v="4"/>
    <n v="79.2077512360094"/>
    <x v="3"/>
  </r>
  <r>
    <s v="12/12/2023"/>
    <d v="2023-12-12T00:00:00"/>
    <s v="Tuesday"/>
    <x v="11"/>
    <x v="0"/>
    <x v="1"/>
    <n v="1399.6228578153"/>
    <n v="5"/>
    <n v="372.62129128376"/>
    <x v="1"/>
  </r>
  <r>
    <s v="12/12/2023"/>
    <d v="2023-12-12T00:00:00"/>
    <s v="Tuesday"/>
    <x v="11"/>
    <x v="0"/>
    <x v="2"/>
    <n v="441.68821236500003"/>
    <n v="15"/>
    <n v="94.3494228446107"/>
    <x v="3"/>
  </r>
  <r>
    <s v="12/12/2023"/>
    <d v="2023-12-12T00:00:00"/>
    <s v="Tuesday"/>
    <x v="11"/>
    <x v="0"/>
    <x v="3"/>
    <n v="87.952466636500006"/>
    <n v="8"/>
    <n v="313.56633858780498"/>
    <x v="1"/>
  </r>
  <r>
    <s v="12/12/2023"/>
    <d v="2023-12-12T00:00:00"/>
    <s v="Tuesday"/>
    <x v="11"/>
    <x v="0"/>
    <x v="4"/>
    <n v="698.36248241500004"/>
    <n v="7"/>
    <n v="89.700754439999997"/>
    <x v="2"/>
  </r>
  <r>
    <s v="12/13/2023"/>
    <d v="2023-12-13T00:00:00"/>
    <s v="Wednesday"/>
    <x v="11"/>
    <x v="0"/>
    <x v="0"/>
    <n v="1.67162527729"/>
    <n v="19"/>
    <n v="282.20426889994502"/>
    <x v="3"/>
  </r>
  <r>
    <s v="12/13/2023"/>
    <d v="2023-12-13T00:00:00"/>
    <s v="Wednesday"/>
    <x v="11"/>
    <x v="0"/>
    <x v="1"/>
    <n v="1529.89318211676"/>
    <n v="13"/>
    <n v="518.97979883821301"/>
    <x v="3"/>
  </r>
  <r>
    <s v="12/13/2023"/>
    <d v="2023-12-13T00:00:00"/>
    <s v="Wednesday"/>
    <x v="11"/>
    <x v="0"/>
    <x v="2"/>
    <n v="136.2585637791"/>
    <n v="7"/>
    <n v="157.711527414622"/>
    <x v="3"/>
  </r>
  <r>
    <s v="12/13/2023"/>
    <d v="2023-12-13T00:00:00"/>
    <s v="Wednesday"/>
    <x v="11"/>
    <x v="0"/>
    <x v="3"/>
    <n v="739.36247585214801"/>
    <n v="8"/>
    <n v="99.578582730452894"/>
    <x v="3"/>
  </r>
  <r>
    <s v="12/13/2023"/>
    <d v="2023-12-13T00:00:00"/>
    <s v="Wednesday"/>
    <x v="11"/>
    <x v="0"/>
    <x v="4"/>
    <n v="1643.5192623610001"/>
    <n v="15"/>
    <n v="652.84304063937805"/>
    <x v="3"/>
  </r>
  <r>
    <s v="12/14/2023"/>
    <d v="2023-12-14T00:00:00"/>
    <s v="Thursday"/>
    <x v="11"/>
    <x v="0"/>
    <x v="0"/>
    <n v="1268.4314273143"/>
    <n v="10"/>
    <n v="306.823140931887"/>
    <x v="2"/>
  </r>
  <r>
    <s v="12/14/2023"/>
    <d v="2023-12-14T00:00:00"/>
    <s v="Thursday"/>
    <x v="11"/>
    <x v="0"/>
    <x v="1"/>
    <n v="1.9443187189"/>
    <n v="6"/>
    <n v="129.33503692111401"/>
    <x v="3"/>
  </r>
  <r>
    <s v="12/14/2023"/>
    <d v="2023-12-14T00:00:00"/>
    <s v="Thursday"/>
    <x v="11"/>
    <x v="0"/>
    <x v="2"/>
    <n v="1368.997115316"/>
    <n v="12"/>
    <n v="399.01792507155602"/>
    <x v="2"/>
  </r>
  <r>
    <s v="12/14/2023"/>
    <d v="2023-12-14T00:00:00"/>
    <s v="Thursday"/>
    <x v="11"/>
    <x v="0"/>
    <x v="3"/>
    <n v="1359.33775664271"/>
    <n v="1"/>
    <n v="476.668187989069"/>
    <x v="3"/>
  </r>
  <r>
    <s v="12/14/2023"/>
    <d v="2023-12-14T00:00:00"/>
    <s v="Thursday"/>
    <x v="11"/>
    <x v="0"/>
    <x v="4"/>
    <n v="1373.4143734551999"/>
    <n v="8"/>
    <n v="242.68213705240601"/>
    <x v="3"/>
  </r>
  <r>
    <s v="12/15/2023"/>
    <d v="2023-12-15T00:00:00"/>
    <s v="Friday"/>
    <x v="11"/>
    <x v="0"/>
    <x v="0"/>
    <n v="1321.3718398230001"/>
    <n v="8"/>
    <n v="450.77447115768899"/>
    <x v="3"/>
  </r>
  <r>
    <s v="12/15/2023"/>
    <d v="2023-12-15T00:00:00"/>
    <s v="Friday"/>
    <x v="11"/>
    <x v="0"/>
    <x v="1"/>
    <n v="198.18678785200001"/>
    <n v="1"/>
    <n v="344.92093096891"/>
    <x v="0"/>
  </r>
  <r>
    <s v="12/15/2023"/>
    <d v="2023-12-15T00:00:00"/>
    <s v="Friday"/>
    <x v="11"/>
    <x v="0"/>
    <x v="2"/>
    <n v="664.25791851500003"/>
    <n v="17"/>
    <n v="152.4781447"/>
    <x v="0"/>
  </r>
  <r>
    <s v="12/15/2023"/>
    <d v="2023-12-15T00:00:00"/>
    <s v="Friday"/>
    <x v="11"/>
    <x v="0"/>
    <x v="3"/>
    <n v="947.91129287399997"/>
    <n v="10"/>
    <n v="223.389068675234"/>
    <x v="3"/>
  </r>
  <r>
    <s v="12/15/2023"/>
    <d v="2023-12-15T00:00:00"/>
    <s v="Friday"/>
    <x v="11"/>
    <x v="0"/>
    <x v="4"/>
    <n v="676.97336184699998"/>
    <n v="14"/>
    <n v="214.82830285193299"/>
    <x v="2"/>
  </r>
  <r>
    <s v="12/16/2023"/>
    <d v="2023-12-16T00:00:00"/>
    <s v="Saturday"/>
    <x v="11"/>
    <x v="0"/>
    <x v="0"/>
    <n v="131.76539846669999"/>
    <n v="11"/>
    <n v="407.59552367435703"/>
    <x v="1"/>
  </r>
  <r>
    <s v="12/16/2023"/>
    <d v="2023-12-16T00:00:00"/>
    <s v="Saturday"/>
    <x v="11"/>
    <x v="0"/>
    <x v="1"/>
    <n v="1458.6243551622699"/>
    <n v="6"/>
    <n v="393.36335979792602"/>
    <x v="0"/>
  </r>
  <r>
    <s v="12/16/2023"/>
    <d v="2023-12-16T00:00:00"/>
    <s v="Saturday"/>
    <x v="11"/>
    <x v="0"/>
    <x v="2"/>
    <n v="975.68621583475999"/>
    <n v="8"/>
    <n v="203.78157323861601"/>
    <x v="1"/>
  </r>
  <r>
    <s v="12/16/2023"/>
    <d v="2023-12-16T00:00:00"/>
    <s v="Saturday"/>
    <x v="11"/>
    <x v="0"/>
    <x v="3"/>
    <n v="846.79415947699999"/>
    <n v="15"/>
    <n v="207.59489680882999"/>
    <x v="2"/>
  </r>
  <r>
    <s v="12/16/2023"/>
    <d v="2023-12-16T00:00:00"/>
    <s v="Saturday"/>
    <x v="11"/>
    <x v="0"/>
    <x v="4"/>
    <n v="1342.25896468322"/>
    <n v="16"/>
    <n v="261.655094148442"/>
    <x v="0"/>
  </r>
  <r>
    <s v="12/17/2023"/>
    <d v="2023-12-17T00:00:00"/>
    <s v="Sunday"/>
    <x v="11"/>
    <x v="0"/>
    <x v="0"/>
    <n v="143.4723979927"/>
    <n v="5"/>
    <n v="113.51918706319"/>
    <x v="3"/>
  </r>
  <r>
    <s v="12/17/2023"/>
    <d v="2023-12-17T00:00:00"/>
    <s v="Sunday"/>
    <x v="11"/>
    <x v="0"/>
    <x v="1"/>
    <n v="184.28899634952"/>
    <n v="19"/>
    <n v="274.16535906878698"/>
    <x v="0"/>
  </r>
  <r>
    <s v="12/17/2023"/>
    <d v="2023-12-17T00:00:00"/>
    <s v="Sunday"/>
    <x v="11"/>
    <x v="0"/>
    <x v="2"/>
    <n v="959.91881871947999"/>
    <n v="8"/>
    <n v="151.66887249418301"/>
    <x v="0"/>
  </r>
  <r>
    <s v="12/17/2023"/>
    <d v="2023-12-17T00:00:00"/>
    <s v="Sunday"/>
    <x v="11"/>
    <x v="0"/>
    <x v="3"/>
    <n v="769.81138764382695"/>
    <n v="9"/>
    <n v="171.36761191274601"/>
    <x v="3"/>
  </r>
  <r>
    <s v="12/17/2023"/>
    <d v="2023-12-17T00:00:00"/>
    <s v="Sunday"/>
    <x v="11"/>
    <x v="0"/>
    <x v="4"/>
    <n v="893.51613937980005"/>
    <n v="11"/>
    <n v="192.91946199744001"/>
    <x v="3"/>
  </r>
  <r>
    <s v="12/18/2023"/>
    <d v="2023-12-18T00:00:00"/>
    <s v="Monday"/>
    <x v="11"/>
    <x v="0"/>
    <x v="0"/>
    <n v="115.68736761471"/>
    <n v="7"/>
    <n v="260.57701466835101"/>
    <x v="2"/>
  </r>
  <r>
    <s v="12/18/2023"/>
    <d v="2023-12-18T00:00:00"/>
    <s v="Monday"/>
    <x v="11"/>
    <x v="0"/>
    <x v="1"/>
    <n v="787.92856625872002"/>
    <n v="4"/>
    <n v="291.60737625980403"/>
    <x v="3"/>
  </r>
  <r>
    <s v="12/18/2023"/>
    <d v="2023-12-18T00:00:00"/>
    <s v="Monday"/>
    <x v="11"/>
    <x v="0"/>
    <x v="2"/>
    <n v="1156.457576795"/>
    <n v="3"/>
    <n v="339.50074464355203"/>
    <x v="1"/>
  </r>
  <r>
    <s v="12/18/2023"/>
    <d v="2023-12-18T00:00:00"/>
    <s v="Monday"/>
    <x v="11"/>
    <x v="0"/>
    <x v="3"/>
    <n v="1347.92948858553"/>
    <n v="16"/>
    <n v="485.87590723549602"/>
    <x v="0"/>
  </r>
  <r>
    <s v="12/18/2023"/>
    <d v="2023-12-18T00:00:00"/>
    <s v="Monday"/>
    <x v="11"/>
    <x v="0"/>
    <x v="4"/>
    <n v="1154.1375257459999"/>
    <n v="11"/>
    <n v="357.03275047592399"/>
    <x v="2"/>
  </r>
  <r>
    <s v="12/19/2023"/>
    <d v="2023-12-19T00:00:00"/>
    <s v="Tuesday"/>
    <x v="11"/>
    <x v="0"/>
    <x v="0"/>
    <n v="833.36656214498998"/>
    <n v="7"/>
    <n v="313.53854745817"/>
    <x v="3"/>
  </r>
  <r>
    <s v="12/19/2023"/>
    <d v="2023-12-19T00:00:00"/>
    <s v="Tuesday"/>
    <x v="11"/>
    <x v="0"/>
    <x v="1"/>
    <n v="16.55972265466"/>
    <n v="8"/>
    <n v="389.04225379341801"/>
    <x v="2"/>
  </r>
  <r>
    <s v="12/19/2023"/>
    <d v="2023-12-19T00:00:00"/>
    <s v="Tuesday"/>
    <x v="11"/>
    <x v="0"/>
    <x v="2"/>
    <n v="146.59749975982001"/>
    <n v="4"/>
    <n v="371.06555782818299"/>
    <x v="3"/>
  </r>
  <r>
    <s v="12/19/2023"/>
    <d v="2023-12-19T00:00:00"/>
    <s v="Tuesday"/>
    <x v="11"/>
    <x v="0"/>
    <x v="3"/>
    <n v="1119.44417953676"/>
    <n v="17"/>
    <n v="293.830674818212"/>
    <x v="1"/>
  </r>
  <r>
    <s v="12/19/2023"/>
    <d v="2023-12-19T00:00:00"/>
    <s v="Tuesday"/>
    <x v="11"/>
    <x v="0"/>
    <x v="4"/>
    <n v="1683.1259494159899"/>
    <n v="15"/>
    <n v="251.25895180204901"/>
    <x v="1"/>
  </r>
  <r>
    <s v="12/20/2023"/>
    <d v="2023-12-20T00:00:00"/>
    <s v="Wednesday"/>
    <x v="11"/>
    <x v="0"/>
    <x v="0"/>
    <n v="629.64644732809995"/>
    <n v="1"/>
    <n v="219.78491738458101"/>
    <x v="3"/>
  </r>
  <r>
    <s v="12/20/2023"/>
    <d v="2023-12-20T00:00:00"/>
    <s v="Wednesday"/>
    <x v="11"/>
    <x v="0"/>
    <x v="1"/>
    <n v="635.67469786672996"/>
    <n v="16"/>
    <n v="192.761363693356"/>
    <x v="0"/>
  </r>
  <r>
    <s v="12/20/2023"/>
    <d v="2023-12-20T00:00:00"/>
    <s v="Wednesday"/>
    <x v="11"/>
    <x v="0"/>
    <x v="2"/>
    <n v="1136.8716392118999"/>
    <n v="13"/>
    <n v="358.60401390594501"/>
    <x v="0"/>
  </r>
  <r>
    <s v="12/20/2023"/>
    <d v="2023-12-20T00:00:00"/>
    <s v="Wednesday"/>
    <x v="11"/>
    <x v="0"/>
    <x v="3"/>
    <n v="169.74598599999999"/>
    <n v="11"/>
    <n v="115.9094544"/>
    <x v="1"/>
  </r>
  <r>
    <s v="12/20/2023"/>
    <d v="2023-12-20T00:00:00"/>
    <s v="Wednesday"/>
    <x v="11"/>
    <x v="0"/>
    <x v="4"/>
    <n v="127.44895994281001"/>
    <n v="15"/>
    <n v="302.22002098832399"/>
    <x v="2"/>
  </r>
  <r>
    <s v="12/21/2023"/>
    <d v="2023-12-21T00:00:00"/>
    <s v="Thursday"/>
    <x v="11"/>
    <x v="0"/>
    <x v="0"/>
    <n v="176.65532699241001"/>
    <n v="7"/>
    <n v="198.02929963599601"/>
    <x v="2"/>
  </r>
  <r>
    <s v="12/21/2023"/>
    <d v="2023-12-21T00:00:00"/>
    <s v="Thursday"/>
    <x v="11"/>
    <x v="0"/>
    <x v="1"/>
    <n v="11.3225951485"/>
    <n v="8"/>
    <n v="224.391492985664"/>
    <x v="1"/>
  </r>
  <r>
    <s v="12/21/2023"/>
    <d v="2023-12-21T00:00:00"/>
    <s v="Thursday"/>
    <x v="11"/>
    <x v="0"/>
    <x v="2"/>
    <n v="71.479877926"/>
    <n v="12"/>
    <n v="130.277010597003"/>
    <x v="2"/>
  </r>
  <r>
    <s v="12/21/2023"/>
    <d v="2023-12-21T00:00:00"/>
    <s v="Thursday"/>
    <x v="11"/>
    <x v="0"/>
    <x v="3"/>
    <n v="117.7234892294"/>
    <n v="16"/>
    <n v="258.203393969057"/>
    <x v="3"/>
  </r>
  <r>
    <s v="12/21/2023"/>
    <d v="2023-12-21T00:00:00"/>
    <s v="Thursday"/>
    <x v="11"/>
    <x v="0"/>
    <x v="4"/>
    <n v="1128.7534359624899"/>
    <n v="18"/>
    <n v="408.61815237612097"/>
    <x v="0"/>
  </r>
  <r>
    <s v="12/22/2023"/>
    <d v="2023-12-22T00:00:00"/>
    <s v="Friday"/>
    <x v="11"/>
    <x v="0"/>
    <x v="0"/>
    <n v="1249.4912676854699"/>
    <n v="16"/>
    <n v="458.03823918189198"/>
    <x v="3"/>
  </r>
  <r>
    <s v="12/22/2023"/>
    <d v="2023-12-22T00:00:00"/>
    <s v="Friday"/>
    <x v="11"/>
    <x v="0"/>
    <x v="1"/>
    <n v="98.81545219585"/>
    <n v="9"/>
    <n v="318.207624901374"/>
    <x v="1"/>
  </r>
  <r>
    <s v="12/22/2023"/>
    <d v="2023-12-22T00:00:00"/>
    <s v="Friday"/>
    <x v="11"/>
    <x v="0"/>
    <x v="2"/>
    <n v="894.53788616325005"/>
    <n v="12"/>
    <n v="144.448717825263"/>
    <x v="1"/>
  </r>
  <r>
    <s v="12/22/2023"/>
    <d v="2023-12-22T00:00:00"/>
    <s v="Friday"/>
    <x v="11"/>
    <x v="0"/>
    <x v="3"/>
    <n v="618.88615863747805"/>
    <n v="10"/>
    <n v="226.37409614171301"/>
    <x v="3"/>
  </r>
  <r>
    <s v="12/22/2023"/>
    <d v="2023-12-22T00:00:00"/>
    <s v="Friday"/>
    <x v="11"/>
    <x v="0"/>
    <x v="4"/>
    <n v="868.31988296799"/>
    <n v="7"/>
    <n v="285.31279415367601"/>
    <x v="3"/>
  </r>
  <r>
    <s v="12/23/2023"/>
    <d v="2023-12-23T00:00:00"/>
    <s v="Saturday"/>
    <x v="11"/>
    <x v="0"/>
    <x v="0"/>
    <n v="1165.8273234954099"/>
    <n v="3"/>
    <n v="234.219043853324"/>
    <x v="3"/>
  </r>
  <r>
    <s v="12/23/2023"/>
    <d v="2023-12-23T00:00:00"/>
    <s v="Saturday"/>
    <x v="11"/>
    <x v="0"/>
    <x v="1"/>
    <n v="91.394998000000001"/>
    <n v="5"/>
    <n v="346.345784990808"/>
    <x v="3"/>
  </r>
  <r>
    <s v="12/23/2023"/>
    <d v="2023-12-23T00:00:00"/>
    <s v="Saturday"/>
    <x v="11"/>
    <x v="0"/>
    <x v="2"/>
    <n v="988.74975310000002"/>
    <n v="11"/>
    <n v="173.667157530498"/>
    <x v="0"/>
  </r>
  <r>
    <s v="12/23/2023"/>
    <d v="2023-12-23T00:00:00"/>
    <s v="Saturday"/>
    <x v="11"/>
    <x v="0"/>
    <x v="3"/>
    <n v="145.4173214786"/>
    <n v="12"/>
    <n v="177.908125238482"/>
    <x v="2"/>
  </r>
  <r>
    <s v="12/23/2023"/>
    <d v="2023-12-23T00:00:00"/>
    <s v="Saturday"/>
    <x v="11"/>
    <x v="0"/>
    <x v="4"/>
    <n v="1522.7128254176"/>
    <n v="9"/>
    <n v="588.26482507880496"/>
    <x v="0"/>
  </r>
  <r>
    <s v="12/24/2023"/>
    <d v="2023-12-24T00:00:00"/>
    <s v="Sunday"/>
    <x v="11"/>
    <x v="0"/>
    <x v="0"/>
    <n v="1616.3465329856999"/>
    <n v="16"/>
    <n v="504.91800643596599"/>
    <x v="2"/>
  </r>
  <r>
    <s v="12/24/2023"/>
    <d v="2023-12-24T00:00:00"/>
    <s v="Sunday"/>
    <x v="11"/>
    <x v="0"/>
    <x v="1"/>
    <n v="125.9295672626"/>
    <n v="18"/>
    <n v="410.20785185085703"/>
    <x v="2"/>
  </r>
  <r>
    <s v="12/24/2023"/>
    <d v="2023-12-24T00:00:00"/>
    <s v="Sunday"/>
    <x v="11"/>
    <x v="0"/>
    <x v="2"/>
    <n v="872.76885532477002"/>
    <n v="8"/>
    <n v="200.12272321583899"/>
    <x v="1"/>
  </r>
  <r>
    <s v="12/24/2023"/>
    <d v="2023-12-24T00:00:00"/>
    <s v="Sunday"/>
    <x v="11"/>
    <x v="0"/>
    <x v="3"/>
    <n v="1361.3783738151001"/>
    <n v="7"/>
    <n v="174.80683324630701"/>
    <x v="2"/>
  </r>
  <r>
    <s v="12/24/2023"/>
    <d v="2023-12-24T00:00:00"/>
    <s v="Sunday"/>
    <x v="11"/>
    <x v="0"/>
    <x v="4"/>
    <n v="154.76142964799999"/>
    <n v="14"/>
    <n v="295.52515485866002"/>
    <x v="2"/>
  </r>
  <r>
    <s v="12/25/2023"/>
    <d v="2023-12-25T00:00:00"/>
    <s v="Monday"/>
    <x v="11"/>
    <x v="0"/>
    <x v="0"/>
    <n v="582.41248571448"/>
    <n v="6"/>
    <n v="177.96221314303301"/>
    <x v="0"/>
  </r>
  <r>
    <s v="12/25/2023"/>
    <d v="2023-12-25T00:00:00"/>
    <s v="Monday"/>
    <x v="11"/>
    <x v="0"/>
    <x v="1"/>
    <n v="1511.2362341773"/>
    <n v="12"/>
    <n v="464.4491688"/>
    <x v="2"/>
  </r>
  <r>
    <s v="12/25/2023"/>
    <d v="2023-12-25T00:00:00"/>
    <s v="Monday"/>
    <x v="11"/>
    <x v="0"/>
    <x v="2"/>
    <n v="769.94788598634"/>
    <n v="17"/>
    <n v="254.00761164864201"/>
    <x v="1"/>
  </r>
  <r>
    <s v="12/25/2023"/>
    <d v="2023-12-25T00:00:00"/>
    <s v="Monday"/>
    <x v="11"/>
    <x v="0"/>
    <x v="3"/>
    <n v="12.4216877458"/>
    <n v="10"/>
    <n v="239.51849718621199"/>
    <x v="2"/>
  </r>
  <r>
    <s v="12/25/2023"/>
    <d v="2023-12-25T00:00:00"/>
    <s v="Monday"/>
    <x v="11"/>
    <x v="0"/>
    <x v="4"/>
    <n v="19.749958866349999"/>
    <n v="8"/>
    <n v="264.57851781528802"/>
    <x v="3"/>
  </r>
  <r>
    <s v="12/26/2023"/>
    <d v="2023-12-26T00:00:00"/>
    <s v="Tuesday"/>
    <x v="11"/>
    <x v="0"/>
    <x v="0"/>
    <n v="1241.6781549855"/>
    <n v="8"/>
    <n v="344.87367727171801"/>
    <x v="2"/>
  </r>
  <r>
    <s v="12/26/2023"/>
    <d v="2023-12-26T00:00:00"/>
    <s v="Tuesday"/>
    <x v="11"/>
    <x v="0"/>
    <x v="1"/>
    <n v="651.45667791567996"/>
    <n v="15"/>
    <n v="103.224709486164"/>
    <x v="3"/>
  </r>
  <r>
    <s v="12/26/2023"/>
    <d v="2023-12-26T00:00:00"/>
    <s v="Tuesday"/>
    <x v="11"/>
    <x v="0"/>
    <x v="2"/>
    <n v="481.14928112500002"/>
    <n v="16"/>
    <n v="185.31515933125999"/>
    <x v="3"/>
  </r>
  <r>
    <s v="12/26/2023"/>
    <d v="2023-12-26T00:00:00"/>
    <s v="Tuesday"/>
    <x v="11"/>
    <x v="0"/>
    <x v="3"/>
    <n v="95.814711761400005"/>
    <n v="17"/>
    <n v="254.65505744892801"/>
    <x v="2"/>
  </r>
  <r>
    <s v="12/26/2023"/>
    <d v="2023-12-26T00:00:00"/>
    <s v="Tuesday"/>
    <x v="11"/>
    <x v="0"/>
    <x v="4"/>
    <n v="194.31262597400001"/>
    <n v="7"/>
    <n v="244.299606892535"/>
    <x v="0"/>
  </r>
  <r>
    <s v="12/27/2023"/>
    <d v="2023-12-27T00:00:00"/>
    <s v="Wednesday"/>
    <x v="11"/>
    <x v="0"/>
    <x v="0"/>
    <n v="68.969898632980005"/>
    <n v="7"/>
    <n v="113.403053693863"/>
    <x v="0"/>
  </r>
  <r>
    <s v="12/27/2023"/>
    <d v="2023-12-27T00:00:00"/>
    <s v="Wednesday"/>
    <x v="11"/>
    <x v="0"/>
    <x v="1"/>
    <n v="369.12948699999998"/>
    <n v="7"/>
    <n v="45.779076727529997"/>
    <x v="2"/>
  </r>
  <r>
    <s v="12/27/2023"/>
    <d v="2023-12-27T00:00:00"/>
    <s v="Wednesday"/>
    <x v="11"/>
    <x v="0"/>
    <x v="2"/>
    <n v="616.94326767675"/>
    <n v="13"/>
    <n v="219.850590143928"/>
    <x v="2"/>
  </r>
  <r>
    <s v="12/27/2023"/>
    <d v="2023-12-27T00:00:00"/>
    <s v="Wednesday"/>
    <x v="11"/>
    <x v="0"/>
    <x v="3"/>
    <n v="1284.5525629795"/>
    <n v="5"/>
    <n v="148.622548089981"/>
    <x v="3"/>
  </r>
  <r>
    <s v="12/27/2023"/>
    <d v="2023-12-27T00:00:00"/>
    <s v="Wednesday"/>
    <x v="11"/>
    <x v="0"/>
    <x v="4"/>
    <n v="144.51591159643999"/>
    <n v="7"/>
    <n v="553.699993631192"/>
    <x v="1"/>
  </r>
  <r>
    <s v="12/28/2023"/>
    <d v="2023-12-28T00:00:00"/>
    <s v="Thursday"/>
    <x v="11"/>
    <x v="0"/>
    <x v="0"/>
    <n v="1213.6951629651001"/>
    <n v="2"/>
    <n v="203.52155727456901"/>
    <x v="1"/>
  </r>
  <r>
    <s v="12/28/2023"/>
    <d v="2023-12-28T00:00:00"/>
    <s v="Thursday"/>
    <x v="11"/>
    <x v="0"/>
    <x v="1"/>
    <n v="1171.4484293959999"/>
    <n v="7"/>
    <n v="140.57140780987999"/>
    <x v="0"/>
  </r>
  <r>
    <s v="12/28/2023"/>
    <d v="2023-12-28T00:00:00"/>
    <s v="Thursday"/>
    <x v="11"/>
    <x v="0"/>
    <x v="2"/>
    <n v="989.44677548931998"/>
    <n v="12"/>
    <n v="317.25528246601903"/>
    <x v="1"/>
  </r>
  <r>
    <s v="12/28/2023"/>
    <d v="2023-12-28T00:00:00"/>
    <s v="Thursday"/>
    <x v="11"/>
    <x v="0"/>
    <x v="3"/>
    <n v="131.16431647726"/>
    <n v="2"/>
    <n v="222.44121566635499"/>
    <x v="1"/>
  </r>
  <r>
    <s v="12/28/2023"/>
    <d v="2023-12-28T00:00:00"/>
    <s v="Thursday"/>
    <x v="11"/>
    <x v="0"/>
    <x v="4"/>
    <n v="877.76196781251895"/>
    <n v="6"/>
    <n v="90.172008032610606"/>
    <x v="1"/>
  </r>
  <r>
    <s v="12/29/2023"/>
    <d v="2023-12-29T00:00:00"/>
    <s v="Friday"/>
    <x v="11"/>
    <x v="0"/>
    <x v="0"/>
    <n v="782.92622979709995"/>
    <n v="2"/>
    <n v="220.857116671797"/>
    <x v="2"/>
  </r>
  <r>
    <s v="12/29/2023"/>
    <d v="2023-12-29T00:00:00"/>
    <s v="Friday"/>
    <x v="11"/>
    <x v="0"/>
    <x v="1"/>
    <n v="999.84324289959102"/>
    <n v="6"/>
    <n v="341.43651917442298"/>
    <x v="0"/>
  </r>
  <r>
    <s v="12/29/2023"/>
    <d v="2023-12-29T00:00:00"/>
    <s v="Friday"/>
    <x v="11"/>
    <x v="0"/>
    <x v="2"/>
    <n v="173.18141772300001"/>
    <n v="9"/>
    <n v="135.02305883889301"/>
    <x v="1"/>
  </r>
  <r>
    <s v="12/29/2023"/>
    <d v="2023-12-29T00:00:00"/>
    <s v="Friday"/>
    <x v="11"/>
    <x v="0"/>
    <x v="3"/>
    <n v="371.96831343820003"/>
    <n v="1"/>
    <n v="93.302684010279293"/>
    <x v="2"/>
  </r>
  <r>
    <s v="12/29/2023"/>
    <d v="2023-12-29T00:00:00"/>
    <s v="Friday"/>
    <x v="11"/>
    <x v="0"/>
    <x v="4"/>
    <n v="1257.5455515758699"/>
    <n v="1"/>
    <n v="322.62238393208298"/>
    <x v="3"/>
  </r>
  <r>
    <s v="12/30/2023"/>
    <d v="2023-12-30T00:00:00"/>
    <s v="Saturday"/>
    <x v="11"/>
    <x v="0"/>
    <x v="0"/>
    <n v="125.6824753599"/>
    <n v="1"/>
    <n v="128.25582196536101"/>
    <x v="2"/>
  </r>
  <r>
    <s v="12/30/2023"/>
    <d v="2023-12-30T00:00:00"/>
    <s v="Saturday"/>
    <x v="11"/>
    <x v="0"/>
    <x v="1"/>
    <n v="1188.6357372721"/>
    <n v="17"/>
    <n v="234.22843154506"/>
    <x v="0"/>
  </r>
  <r>
    <s v="12/30/2023"/>
    <d v="2023-12-30T00:00:00"/>
    <s v="Saturday"/>
    <x v="11"/>
    <x v="0"/>
    <x v="2"/>
    <n v="892.78867175209996"/>
    <n v="2"/>
    <n v="243.80347756436601"/>
    <x v="0"/>
  </r>
  <r>
    <s v="12/30/2023"/>
    <d v="2023-12-30T00:00:00"/>
    <s v="Saturday"/>
    <x v="11"/>
    <x v="0"/>
    <x v="3"/>
    <n v="1147.2673636424699"/>
    <n v="13"/>
    <n v="340.50941977387498"/>
    <x v="1"/>
  </r>
  <r>
    <s v="12/30/2023"/>
    <d v="2023-12-30T00:00:00"/>
    <s v="Saturday"/>
    <x v="11"/>
    <x v="0"/>
    <x v="4"/>
    <n v="856.74277331863902"/>
    <n v="7"/>
    <n v="87.181646302305595"/>
    <x v="2"/>
  </r>
  <r>
    <s v="12/31/2023"/>
    <d v="2023-12-31T00:00:00"/>
    <s v="Sunday"/>
    <x v="11"/>
    <x v="0"/>
    <x v="0"/>
    <n v="1132.74938737"/>
    <n v="14"/>
    <n v="353.464221248873"/>
    <x v="3"/>
  </r>
  <r>
    <s v="12/31/2023"/>
    <d v="2023-12-31T00:00:00"/>
    <s v="Sunday"/>
    <x v="11"/>
    <x v="0"/>
    <x v="1"/>
    <n v="679.26197674561001"/>
    <n v="8"/>
    <n v="183.860199655363"/>
    <x v="0"/>
  </r>
  <r>
    <s v="12/31/2023"/>
    <d v="2023-12-31T00:00:00"/>
    <s v="Sunday"/>
    <x v="11"/>
    <x v="0"/>
    <x v="2"/>
    <n v="1193.7337278718001"/>
    <n v="10"/>
    <n v="359.01093816922298"/>
    <x v="2"/>
  </r>
  <r>
    <s v="12/31/2023"/>
    <d v="2023-12-31T00:00:00"/>
    <s v="Sunday"/>
    <x v="11"/>
    <x v="0"/>
    <x v="3"/>
    <n v="176.11876152549999"/>
    <n v="17"/>
    <n v="259.570915782366"/>
    <x v="0"/>
  </r>
  <r>
    <s v="12/31/2023"/>
    <d v="2023-12-31T00:00:00"/>
    <s v="Sunday"/>
    <x v="11"/>
    <x v="0"/>
    <x v="4"/>
    <n v="73.973443248628996"/>
    <n v="14"/>
    <n v="134.1060064066159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4616F1-8575-452B-A334-BFFD4570E5B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C4:D17" firstHeaderRow="1" firstDataRow="1" firstDataCol="1"/>
  <pivotFields count="10">
    <pivotField showAll="0"/>
    <pivotField numFmtId="164" showAll="0"/>
    <pivotField showAll="0"/>
    <pivotField axis="axisRow" showAll="0" sortType="ascending">
      <items count="13">
        <item x="0"/>
        <item x="1"/>
        <item x="2"/>
        <item x="3"/>
        <item x="4"/>
        <item x="5"/>
        <item x="6"/>
        <item x="7"/>
        <item x="8"/>
        <item x="9"/>
        <item x="10"/>
        <item x="11"/>
        <item t="default"/>
      </items>
    </pivotField>
    <pivotField showAll="0"/>
    <pivotField showAll="0">
      <items count="6">
        <item x="4"/>
        <item x="1"/>
        <item x="0"/>
        <item x="2"/>
        <item x="3"/>
        <item t="default"/>
      </items>
    </pivotField>
    <pivotField dataField="1" numFmtId="2" showAll="0"/>
    <pivotField numFmtId="1" showAll="0"/>
    <pivotField numFmtId="43" showAll="0"/>
    <pivotField showAll="0">
      <items count="6">
        <item x="1"/>
        <item x="0"/>
        <item x="2"/>
        <item x="4"/>
        <item x="3"/>
        <item t="default"/>
      </items>
    </pivotField>
  </pivotFields>
  <rowFields count="1">
    <field x="3"/>
  </rowFields>
  <rowItems count="13">
    <i>
      <x/>
    </i>
    <i>
      <x v="1"/>
    </i>
    <i>
      <x v="2"/>
    </i>
    <i>
      <x v="3"/>
    </i>
    <i>
      <x v="4"/>
    </i>
    <i>
      <x v="5"/>
    </i>
    <i>
      <x v="6"/>
    </i>
    <i>
      <x v="7"/>
    </i>
    <i>
      <x v="8"/>
    </i>
    <i>
      <x v="9"/>
    </i>
    <i>
      <x v="10"/>
    </i>
    <i>
      <x v="11"/>
    </i>
    <i t="grand">
      <x/>
    </i>
  </rowItems>
  <colItems count="1">
    <i/>
  </colItems>
  <dataFields count="1">
    <dataField name="Sum of Sales" fld="6" baseField="0" baseItem="0" numFmtId="43"/>
  </dataFields>
  <formats count="1">
    <format dxfId="0">
      <pivotArea outline="0" collapsedLevelsAreSubtotals="1" fieldPosition="0"/>
    </format>
  </formats>
  <conditionalFormats count="1">
    <conditionalFormat priority="19">
      <pivotAreas count="1">
        <pivotArea type="data" collapsedLevelsAreSubtotals="1" fieldPosition="0">
          <references count="2">
            <reference field="4294967294" count="1" selected="0">
              <x v="0"/>
            </reference>
            <reference field="3" count="12">
              <x v="0"/>
              <x v="1"/>
              <x v="2"/>
              <x v="3"/>
              <x v="4"/>
              <x v="5"/>
              <x v="6"/>
              <x v="7"/>
              <x v="8"/>
              <x v="9"/>
              <x v="10"/>
              <x v="11"/>
            </reference>
          </references>
        </pivotArea>
      </pivotAreas>
    </conditionalFormat>
  </conditionalFormats>
  <chartFormats count="4">
    <chartFormat chart="3"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8D3F4E-1A3C-4299-A7B2-B38B8E3652CE}" name="PivotTable8"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S4:X18" firstHeaderRow="1" firstDataRow="2" firstDataCol="1"/>
  <pivotFields count="10">
    <pivotField subtotalTop="0" showAll="0"/>
    <pivotField numFmtId="164" subtotalTop="0" showAll="0"/>
    <pivotField subtotalTop="0" showAll="0"/>
    <pivotField axis="axisRow" subtotalTop="0" showAll="0">
      <items count="13">
        <item x="0"/>
        <item x="1"/>
        <item x="2"/>
        <item x="3"/>
        <item x="4"/>
        <item x="5"/>
        <item x="6"/>
        <item x="7"/>
        <item x="8"/>
        <item x="9"/>
        <item x="10"/>
        <item x="11"/>
        <item t="default"/>
      </items>
    </pivotField>
    <pivotField subtotalTop="0" showAll="0"/>
    <pivotField axis="axisCol" subtotalTop="0" showAll="0">
      <items count="6">
        <item x="4"/>
        <item x="1"/>
        <item x="0"/>
        <item x="2"/>
        <item x="3"/>
        <item t="default"/>
      </items>
    </pivotField>
    <pivotField numFmtId="2" subtotalTop="0" showAll="0"/>
    <pivotField dataField="1" numFmtId="1" subtotalTop="0" showAll="0"/>
    <pivotField numFmtId="43" subtotalTop="0" showAll="0"/>
    <pivotField subtotalTop="0" showAll="0">
      <items count="6">
        <item x="1"/>
        <item x="0"/>
        <item x="2"/>
        <item x="4"/>
        <item x="3"/>
        <item t="default"/>
      </items>
    </pivotField>
  </pivotFields>
  <rowFields count="1">
    <field x="3"/>
  </rowFields>
  <rowItems count="13">
    <i>
      <x/>
    </i>
    <i>
      <x v="1"/>
    </i>
    <i>
      <x v="2"/>
    </i>
    <i>
      <x v="3"/>
    </i>
    <i>
      <x v="4"/>
    </i>
    <i>
      <x v="5"/>
    </i>
    <i>
      <x v="6"/>
    </i>
    <i>
      <x v="7"/>
    </i>
    <i>
      <x v="8"/>
    </i>
    <i>
      <x v="9"/>
    </i>
    <i>
      <x v="10"/>
    </i>
    <i>
      <x v="11"/>
    </i>
    <i t="grand">
      <x/>
    </i>
  </rowItems>
  <colFields count="1">
    <field x="5"/>
  </colFields>
  <colItems count="5">
    <i>
      <x/>
    </i>
    <i>
      <x v="1"/>
    </i>
    <i>
      <x v="2"/>
    </i>
    <i>
      <x v="3"/>
    </i>
    <i>
      <x v="4"/>
    </i>
  </colItems>
  <dataFields count="1">
    <dataField name="Sum of Quantity" fld="7" baseField="0" baseItem="0" numFmtId="165"/>
  </dataFields>
  <formats count="1">
    <format dxfId="1">
      <pivotArea outline="0" collapsedLevelsAreSubtotals="1" fieldPosition="0"/>
    </format>
  </formats>
  <conditionalFormats count="2">
    <conditionalFormat priority="3">
      <pivotAreas count="1">
        <pivotArea type="data" grandRow="1" outline="0" collapsedLevelsAreSubtotals="1" fieldPosition="0">
          <references count="1">
            <reference field="4294967294" count="1" selected="0">
              <x v="0"/>
            </reference>
          </references>
        </pivotArea>
      </pivotAreas>
    </conditionalFormat>
    <conditionalFormat priority="4">
      <pivotAreas count="1">
        <pivotArea type="data" collapsedLevelsAreSubtotals="1" fieldPosition="0">
          <references count="2">
            <reference field="4294967294" count="1" selected="0">
              <x v="0"/>
            </reference>
            <reference field="3" count="12">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4949E3-BEB2-4A21-872E-46AB3A4F9DE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I4:J17" firstHeaderRow="1" firstDataRow="1" firstDataCol="1"/>
  <pivotFields count="10">
    <pivotField showAll="0"/>
    <pivotField numFmtId="164" showAll="0"/>
    <pivotField showAll="0"/>
    <pivotField axis="axisRow" showAll="0" sortType="ascending">
      <items count="13">
        <item x="0"/>
        <item x="1"/>
        <item x="2"/>
        <item x="3"/>
        <item x="4"/>
        <item x="5"/>
        <item x="6"/>
        <item x="7"/>
        <item x="8"/>
        <item x="9"/>
        <item x="10"/>
        <item x="11"/>
        <item t="default"/>
      </items>
    </pivotField>
    <pivotField showAll="0"/>
    <pivotField showAll="0">
      <items count="6">
        <item x="4"/>
        <item x="1"/>
        <item x="0"/>
        <item x="2"/>
        <item x="3"/>
        <item t="default"/>
      </items>
    </pivotField>
    <pivotField numFmtId="2" showAll="0"/>
    <pivotField numFmtId="1" showAll="0"/>
    <pivotField dataField="1" numFmtId="43" showAll="0"/>
    <pivotField showAll="0">
      <items count="6">
        <item x="1"/>
        <item x="0"/>
        <item x="2"/>
        <item x="4"/>
        <item x="3"/>
        <item t="default"/>
      </items>
    </pivotField>
  </pivotFields>
  <rowFields count="1">
    <field x="3"/>
  </rowFields>
  <rowItems count="13">
    <i>
      <x/>
    </i>
    <i>
      <x v="1"/>
    </i>
    <i>
      <x v="2"/>
    </i>
    <i>
      <x v="3"/>
    </i>
    <i>
      <x v="4"/>
    </i>
    <i>
      <x v="5"/>
    </i>
    <i>
      <x v="6"/>
    </i>
    <i>
      <x v="7"/>
    </i>
    <i>
      <x v="8"/>
    </i>
    <i>
      <x v="9"/>
    </i>
    <i>
      <x v="10"/>
    </i>
    <i>
      <x v="11"/>
    </i>
    <i t="grand">
      <x/>
    </i>
  </rowItems>
  <colItems count="1">
    <i/>
  </colItems>
  <dataFields count="1">
    <dataField name="Sum of Profit" fld="8" baseField="0" baseItem="0" numFmtId="43"/>
  </dataFields>
  <formats count="1">
    <format dxfId="2">
      <pivotArea outline="0" collapsedLevelsAreSubtotals="1" fieldPosition="0"/>
    </format>
  </formats>
  <conditionalFormats count="1">
    <conditionalFormat priority="13">
      <pivotAreas count="1">
        <pivotArea type="data" collapsedLevelsAreSubtotals="1" fieldPosition="0">
          <references count="2">
            <reference field="4294967294" count="1" selected="0">
              <x v="0"/>
            </reference>
            <reference field="3" count="12">
              <x v="0"/>
              <x v="1"/>
              <x v="2"/>
              <x v="3"/>
              <x v="4"/>
              <x v="5"/>
              <x v="6"/>
              <x v="7"/>
              <x v="8"/>
              <x v="9"/>
              <x v="10"/>
              <x v="11"/>
            </reference>
          </references>
        </pivotArea>
      </pivotAreas>
    </conditionalFormat>
  </conditional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85A5A0-AF5C-4599-97D9-1AAE7F0289B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12:G18" firstHeaderRow="1" firstDataRow="1" firstDataCol="1"/>
  <pivotFields count="10">
    <pivotField showAll="0"/>
    <pivotField numFmtId="164" showAll="0"/>
    <pivotField showAll="0"/>
    <pivotField showAll="0">
      <items count="13">
        <item x="0"/>
        <item x="1"/>
        <item x="2"/>
        <item x="3"/>
        <item x="4"/>
        <item x="5"/>
        <item x="6"/>
        <item x="7"/>
        <item x="8"/>
        <item x="9"/>
        <item x="10"/>
        <item x="11"/>
        <item t="default"/>
      </items>
    </pivotField>
    <pivotField showAll="0">
      <items count="2">
        <item x="0"/>
        <item t="default"/>
      </items>
    </pivotField>
    <pivotField showAll="0">
      <items count="6">
        <item x="4"/>
        <item x="1"/>
        <item x="0"/>
        <item x="2"/>
        <item x="3"/>
        <item t="default"/>
      </items>
    </pivotField>
    <pivotField numFmtId="2" showAll="0"/>
    <pivotField numFmtId="1" showAll="0"/>
    <pivotField dataField="1" numFmtId="43" showAll="0"/>
    <pivotField axis="axisRow" showAll="0" sortType="descending">
      <items count="6">
        <item x="3"/>
        <item x="4"/>
        <item x="2"/>
        <item x="0"/>
        <item x="1"/>
        <item t="default"/>
      </items>
      <autoSortScope>
        <pivotArea dataOnly="0" outline="0" fieldPosition="0">
          <references count="1">
            <reference field="4294967294" count="1" selected="0">
              <x v="0"/>
            </reference>
          </references>
        </pivotArea>
      </autoSortScope>
    </pivotField>
  </pivotFields>
  <rowFields count="1">
    <field x="9"/>
  </rowFields>
  <rowItems count="6">
    <i>
      <x/>
    </i>
    <i>
      <x v="2"/>
    </i>
    <i>
      <x v="3"/>
    </i>
    <i>
      <x v="4"/>
    </i>
    <i>
      <x v="1"/>
    </i>
    <i t="grand">
      <x/>
    </i>
  </rowItems>
  <colItems count="1">
    <i/>
  </colItems>
  <dataFields count="1">
    <dataField name="Sum of Profit" fld="8" baseField="0" baseItem="0" numFmtId="43"/>
  </dataFields>
  <formats count="1">
    <format dxfId="3">
      <pivotArea outline="0" collapsedLevelsAreSubtotals="1" fieldPosition="0"/>
    </format>
  </formats>
  <conditionalFormats count="1">
    <conditionalFormat priority="15">
      <pivotAreas count="1">
        <pivotArea type="data" collapsedLevelsAreSubtotals="1" fieldPosition="0">
          <references count="2">
            <reference field="4294967294" count="1" selected="0">
              <x v="0"/>
            </reference>
            <reference field="9" count="5">
              <x v="0"/>
              <x v="1"/>
              <x v="2"/>
              <x v="3"/>
              <x v="4"/>
            </reference>
          </references>
        </pivotArea>
      </pivotAreas>
    </conditionalFormat>
  </conditionalFormats>
  <chartFormats count="6">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9" count="1" selected="0">
            <x v="0"/>
          </reference>
        </references>
      </pivotArea>
    </chartFormat>
    <chartFormat chart="3" format="8">
      <pivotArea type="data" outline="0" fieldPosition="0">
        <references count="2">
          <reference field="4294967294" count="1" selected="0">
            <x v="0"/>
          </reference>
          <reference field="9" count="1" selected="0">
            <x v="2"/>
          </reference>
        </references>
      </pivotArea>
    </chartFormat>
    <chartFormat chart="3" format="9">
      <pivotArea type="data" outline="0" fieldPosition="0">
        <references count="2">
          <reference field="4294967294" count="1" selected="0">
            <x v="0"/>
          </reference>
          <reference field="9" count="1" selected="0">
            <x v="3"/>
          </reference>
        </references>
      </pivotArea>
    </chartFormat>
    <chartFormat chart="3" format="10">
      <pivotArea type="data" outline="0" fieldPosition="0">
        <references count="2">
          <reference field="4294967294" count="1" selected="0">
            <x v="0"/>
          </reference>
          <reference field="9" count="1" selected="0">
            <x v="4"/>
          </reference>
        </references>
      </pivotArea>
    </chartFormat>
    <chartFormat chart="3" format="1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6724B7-2650-4D08-BAE7-03A531868C83}" name="PivotTable6"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L4:Q18" firstHeaderRow="1" firstDataRow="2" firstDataCol="1"/>
  <pivotFields count="10">
    <pivotField subtotalTop="0" showAll="0"/>
    <pivotField numFmtId="164" subtotalTop="0" showAll="0"/>
    <pivotField subtotalTop="0" showAll="0"/>
    <pivotField axis="axisRow" subtotalTop="0" showAll="0">
      <items count="13">
        <item x="11"/>
        <item x="10"/>
        <item x="9"/>
        <item x="8"/>
        <item x="7"/>
        <item x="6"/>
        <item x="5"/>
        <item x="4"/>
        <item x="3"/>
        <item x="2"/>
        <item x="1"/>
        <item x="0"/>
        <item t="default"/>
      </items>
    </pivotField>
    <pivotField subtotalTop="0" showAll="0"/>
    <pivotField axis="axisCol" subtotalTop="0" showAll="0">
      <items count="6">
        <item x="4"/>
        <item x="1"/>
        <item x="0"/>
        <item x="2"/>
        <item x="3"/>
        <item t="default"/>
      </items>
    </pivotField>
    <pivotField dataField="1" numFmtId="2" subtotalTop="0" showAll="0"/>
    <pivotField numFmtId="1" subtotalTop="0" showAll="0"/>
    <pivotField numFmtId="43" subtotalTop="0" showAll="0"/>
    <pivotField subtotalTop="0" showAll="0">
      <items count="6">
        <item x="1"/>
        <item x="0"/>
        <item x="2"/>
        <item x="4"/>
        <item x="3"/>
        <item t="default"/>
      </items>
    </pivotField>
  </pivotFields>
  <rowFields count="1">
    <field x="3"/>
  </rowFields>
  <rowItems count="13">
    <i>
      <x/>
    </i>
    <i>
      <x v="1"/>
    </i>
    <i>
      <x v="2"/>
    </i>
    <i>
      <x v="3"/>
    </i>
    <i>
      <x v="4"/>
    </i>
    <i>
      <x v="5"/>
    </i>
    <i>
      <x v="6"/>
    </i>
    <i>
      <x v="7"/>
    </i>
    <i>
      <x v="8"/>
    </i>
    <i>
      <x v="9"/>
    </i>
    <i>
      <x v="10"/>
    </i>
    <i>
      <x v="11"/>
    </i>
    <i t="grand">
      <x/>
    </i>
  </rowItems>
  <colFields count="1">
    <field x="5"/>
  </colFields>
  <colItems count="5">
    <i>
      <x/>
    </i>
    <i>
      <x v="1"/>
    </i>
    <i>
      <x v="2"/>
    </i>
    <i>
      <x v="3"/>
    </i>
    <i>
      <x v="4"/>
    </i>
  </colItems>
  <dataFields count="1">
    <dataField name="Sum of Sales" fld="6" baseField="0" baseItem="0" numFmtId="2"/>
  </dataFields>
  <formats count="1">
    <format dxfId="4">
      <pivotArea outline="0" collapsedLevelsAreSubtotals="1" fieldPosition="0"/>
    </format>
  </formats>
  <conditionalFormats count="2">
    <conditionalFormat priority="7">
      <pivotAreas count="1">
        <pivotArea type="data" grandRow="1" outline="0" collapsedLevelsAreSubtotals="1" fieldPosition="0">
          <references count="1">
            <reference field="4294967294" count="1" selected="0">
              <x v="0"/>
            </reference>
          </references>
        </pivotArea>
      </pivotAreas>
    </conditionalFormat>
    <conditionalFormat priority="11">
      <pivotAreas count="1">
        <pivotArea type="data" collapsedLevelsAreSubtotals="1" fieldPosition="0">
          <references count="2">
            <reference field="4294967294" count="1" selected="0">
              <x v="0"/>
            </reference>
            <reference field="3" count="12">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838555-5CBA-44D1-82F1-651C90EFC78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0:D26" firstHeaderRow="1" firstDataRow="1" firstDataCol="1"/>
  <pivotFields count="10">
    <pivotField showAll="0"/>
    <pivotField numFmtId="164" showAll="0"/>
    <pivotField showAll="0"/>
    <pivotField showAll="0">
      <items count="13">
        <item x="0"/>
        <item x="1"/>
        <item x="2"/>
        <item x="3"/>
        <item x="4"/>
        <item x="5"/>
        <item x="6"/>
        <item x="7"/>
        <item x="8"/>
        <item x="9"/>
        <item x="10"/>
        <item x="11"/>
        <item t="default"/>
      </items>
    </pivotField>
    <pivotField showAll="0">
      <items count="2">
        <item x="0"/>
        <item t="default"/>
      </items>
    </pivotField>
    <pivotField showAll="0">
      <items count="6">
        <item x="4"/>
        <item x="1"/>
        <item x="0"/>
        <item x="2"/>
        <item x="3"/>
        <item t="default"/>
      </items>
    </pivotField>
    <pivotField numFmtId="2" showAll="0"/>
    <pivotField dataField="1" numFmtId="1" showAll="0"/>
    <pivotField numFmtId="43" showAll="0"/>
    <pivotField axis="axisRow" showAll="0" sortType="descending">
      <items count="6">
        <item x="3"/>
        <item x="4"/>
        <item x="2"/>
        <item x="0"/>
        <item x="1"/>
        <item t="default"/>
      </items>
      <autoSortScope>
        <pivotArea dataOnly="0" outline="0" fieldPosition="0">
          <references count="1">
            <reference field="4294967294" count="1" selected="0">
              <x v="0"/>
            </reference>
          </references>
        </pivotArea>
      </autoSortScope>
    </pivotField>
  </pivotFields>
  <rowFields count="1">
    <field x="9"/>
  </rowFields>
  <rowItems count="6">
    <i>
      <x v="2"/>
    </i>
    <i>
      <x v="3"/>
    </i>
    <i>
      <x/>
    </i>
    <i>
      <x v="4"/>
    </i>
    <i>
      <x v="1"/>
    </i>
    <i t="grand">
      <x/>
    </i>
  </rowItems>
  <colItems count="1">
    <i/>
  </colItems>
  <dataFields count="1">
    <dataField name="Sum of Quantity" fld="7" baseField="0" baseItem="0" numFmtId="1"/>
  </dataFields>
  <formats count="1">
    <format dxfId="5">
      <pivotArea outline="0" collapsedLevelsAreSubtotals="1" fieldPosition="0"/>
    </format>
  </formats>
  <conditionalFormats count="1">
    <conditionalFormat priority="1">
      <pivotAreas count="1">
        <pivotArea type="data" collapsedLevelsAreSubtotals="1" fieldPosition="0">
          <references count="2">
            <reference field="4294967294" count="1" selected="0">
              <x v="0"/>
            </reference>
            <reference field="9" count="4">
              <x v="0"/>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5918E18-07AC-4366-B166-FB3C8AC74A2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4:G10" firstHeaderRow="1" firstDataRow="1" firstDataCol="1"/>
  <pivotFields count="10">
    <pivotField showAll="0"/>
    <pivotField numFmtId="164" showAll="0"/>
    <pivotField showAll="0"/>
    <pivotField showAll="0">
      <items count="13">
        <item x="0"/>
        <item x="1"/>
        <item x="2"/>
        <item x="3"/>
        <item x="4"/>
        <item x="5"/>
        <item x="6"/>
        <item x="7"/>
        <item x="8"/>
        <item x="9"/>
        <item x="10"/>
        <item x="11"/>
        <item t="default"/>
      </items>
    </pivotField>
    <pivotField showAll="0">
      <items count="2">
        <item x="0"/>
        <item t="default"/>
      </items>
    </pivotField>
    <pivotField showAll="0">
      <items count="6">
        <item x="4"/>
        <item x="1"/>
        <item x="0"/>
        <item x="2"/>
        <item x="3"/>
        <item t="default"/>
      </items>
    </pivotField>
    <pivotField dataField="1" numFmtId="2" showAll="0"/>
    <pivotField numFmtId="1" showAll="0"/>
    <pivotField numFmtId="43" showAll="0"/>
    <pivotField axis="axisRow" showAll="0" sortType="descending">
      <items count="6">
        <item x="3"/>
        <item x="4"/>
        <item x="2"/>
        <item x="0"/>
        <item x="1"/>
        <item t="default"/>
      </items>
      <autoSortScope>
        <pivotArea dataOnly="0" outline="0" fieldPosition="0">
          <references count="1">
            <reference field="4294967294" count="1" selected="0">
              <x v="0"/>
            </reference>
          </references>
        </pivotArea>
      </autoSortScope>
    </pivotField>
  </pivotFields>
  <rowFields count="1">
    <field x="9"/>
  </rowFields>
  <rowItems count="6">
    <i>
      <x/>
    </i>
    <i>
      <x v="2"/>
    </i>
    <i>
      <x v="3"/>
    </i>
    <i>
      <x v="4"/>
    </i>
    <i>
      <x v="1"/>
    </i>
    <i t="grand">
      <x/>
    </i>
  </rowItems>
  <colItems count="1">
    <i/>
  </colItems>
  <dataFields count="1">
    <dataField name="Sum of Sales" fld="6" baseField="0" baseItem="0" numFmtId="43"/>
  </dataFields>
  <formats count="1">
    <format dxfId="6">
      <pivotArea outline="0" collapsedLevelsAreSubtotals="1" fieldPosition="0"/>
    </format>
  </formats>
  <conditionalFormats count="1">
    <conditionalFormat priority="17">
      <pivotAreas count="1">
        <pivotArea type="data" collapsedLevelsAreSubtotals="1" fieldPosition="0">
          <references count="2">
            <reference field="4294967294" count="1" selected="0">
              <x v="0"/>
            </reference>
            <reference field="9" count="5">
              <x v="0"/>
              <x v="1"/>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F17205E-2F9A-454E-A7B5-ECB6D7321820}" name="PivotTable7"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1">
  <location ref="Z4:AE18" firstHeaderRow="1" firstDataRow="2" firstDataCol="1"/>
  <pivotFields count="10">
    <pivotField subtotalTop="0" showAll="0"/>
    <pivotField numFmtId="164" subtotalTop="0" showAll="0"/>
    <pivotField subtotalTop="0" showAll="0"/>
    <pivotField axis="axisRow" subtotalTop="0" showAll="0" sortType="descending">
      <items count="13">
        <item x="11"/>
        <item x="10"/>
        <item x="9"/>
        <item x="8"/>
        <item x="7"/>
        <item x="6"/>
        <item x="5"/>
        <item x="4"/>
        <item x="3"/>
        <item x="2"/>
        <item x="1"/>
        <item x="0"/>
        <item t="default"/>
      </items>
      <autoSortScope>
        <pivotArea dataOnly="0" outline="0" fieldPosition="0">
          <references count="1">
            <reference field="4294967294" count="1" selected="0">
              <x v="0"/>
            </reference>
          </references>
        </pivotArea>
      </autoSortScope>
    </pivotField>
    <pivotField subtotalTop="0" showAll="0"/>
    <pivotField axis="axisCol" subtotalTop="0" showAll="0">
      <items count="6">
        <item x="4"/>
        <item x="1"/>
        <item x="0"/>
        <item x="2"/>
        <item x="3"/>
        <item t="default"/>
      </items>
    </pivotField>
    <pivotField numFmtId="2" subtotalTop="0" showAll="0"/>
    <pivotField numFmtId="1" subtotalTop="0" showAll="0"/>
    <pivotField dataField="1" numFmtId="43" subtotalTop="0" showAll="0"/>
    <pivotField subtotalTop="0" showAll="0">
      <items count="6">
        <item x="1"/>
        <item x="0"/>
        <item x="2"/>
        <item x="4"/>
        <item x="3"/>
        <item t="default"/>
      </items>
    </pivotField>
  </pivotFields>
  <rowFields count="1">
    <field x="3"/>
  </rowFields>
  <rowItems count="13">
    <i>
      <x v="7"/>
    </i>
    <i>
      <x v="5"/>
    </i>
    <i>
      <x v="11"/>
    </i>
    <i>
      <x v="6"/>
    </i>
    <i>
      <x/>
    </i>
    <i>
      <x v="9"/>
    </i>
    <i>
      <x v="8"/>
    </i>
    <i>
      <x v="3"/>
    </i>
    <i>
      <x v="1"/>
    </i>
    <i>
      <x v="2"/>
    </i>
    <i>
      <x v="4"/>
    </i>
    <i>
      <x v="10"/>
    </i>
    <i t="grand">
      <x/>
    </i>
  </rowItems>
  <colFields count="1">
    <field x="5"/>
  </colFields>
  <colItems count="5">
    <i>
      <x/>
    </i>
    <i>
      <x v="1"/>
    </i>
    <i>
      <x v="2"/>
    </i>
    <i>
      <x v="3"/>
    </i>
    <i>
      <x v="4"/>
    </i>
  </colItems>
  <dataFields count="1">
    <dataField name="Sum of Profit" fld="8" baseField="0" baseItem="0" numFmtId="43"/>
  </dataFields>
  <formats count="1">
    <format dxfId="7">
      <pivotArea outline="0" collapsedLevelsAreSubtotals="1" fieldPosition="0"/>
    </format>
  </formats>
  <conditionalFormats count="2">
    <conditionalFormat priority="8">
      <pivotAreas count="1">
        <pivotArea type="data" grandRow="1" outline="0" collapsedLevelsAreSubtotals="1" fieldPosition="0">
          <references count="1">
            <reference field="4294967294" count="1" selected="0">
              <x v="0"/>
            </reference>
          </references>
        </pivotArea>
      </pivotAreas>
    </conditionalFormat>
    <conditionalFormat priority="9">
      <pivotAreas count="1">
        <pivotArea type="data" collapsedLevelsAreSubtotals="1" fieldPosition="0">
          <references count="2">
            <reference field="4294967294" count="1" selected="0">
              <x v="0"/>
            </reference>
            <reference field="3" count="12">
              <x v="0"/>
              <x v="1"/>
              <x v="2"/>
              <x v="3"/>
              <x v="4"/>
              <x v="5"/>
              <x v="6"/>
              <x v="7"/>
              <x v="8"/>
              <x v="9"/>
              <x v="10"/>
              <x v="11"/>
            </reference>
          </references>
        </pivotArea>
      </pivotAreas>
    </conditionalFormat>
  </conditionalFormats>
  <chartFormats count="6">
    <chartFormat chart="10" format="10" series="1">
      <pivotArea type="data" outline="0" fieldPosition="0">
        <references count="2">
          <reference field="4294967294" count="1" selected="0">
            <x v="0"/>
          </reference>
          <reference field="5" count="1" selected="0">
            <x v="0"/>
          </reference>
        </references>
      </pivotArea>
    </chartFormat>
    <chartFormat chart="10" format="11" series="1">
      <pivotArea type="data" outline="0" fieldPosition="0">
        <references count="2">
          <reference field="4294967294" count="1" selected="0">
            <x v="0"/>
          </reference>
          <reference field="5" count="1" selected="0">
            <x v="1"/>
          </reference>
        </references>
      </pivotArea>
    </chartFormat>
    <chartFormat chart="10" format="12" series="1">
      <pivotArea type="data" outline="0" fieldPosition="0">
        <references count="2">
          <reference field="4294967294" count="1" selected="0">
            <x v="0"/>
          </reference>
          <reference field="5" count="1" selected="0">
            <x v="2"/>
          </reference>
        </references>
      </pivotArea>
    </chartFormat>
    <chartFormat chart="10" format="13" series="1">
      <pivotArea type="data" outline="0" fieldPosition="0">
        <references count="2">
          <reference field="4294967294" count="1" selected="0">
            <x v="0"/>
          </reference>
          <reference field="5" count="1" selected="0">
            <x v="3"/>
          </reference>
        </references>
      </pivotArea>
    </chartFormat>
    <chartFormat chart="10" format="14" series="1">
      <pivotArea type="data" outline="0" fieldPosition="0">
        <references count="2">
          <reference field="4294967294" count="1" selected="0">
            <x v="0"/>
          </reference>
          <reference field="5" count="1" selected="0">
            <x v="4"/>
          </reference>
        </references>
      </pivotArea>
    </chartFormat>
    <chartFormat chart="10"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38C9473-3CD9-4B63-BAA6-7751788C7266}" sourceName="Category">
  <pivotTables>
    <pivotTable tabId="2" name="PivotTable7"/>
    <pivotTable tabId="2" name="PivotTable2"/>
    <pivotTable tabId="2" name="PivotTable3"/>
    <pivotTable tabId="2" name="PivotTable4"/>
    <pivotTable tabId="2" name="PivotTable5"/>
    <pivotTable tabId="2" name="PivotTable6"/>
    <pivotTable tabId="2" name="PivotTable8"/>
    <pivotTable tabId="2" name="PivotTable9"/>
  </pivotTables>
  <data>
    <tabular pivotCacheId="1342422896">
      <items count="5">
        <i x="4" s="1"/>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36B4C00-F60E-417B-A4CC-9F46B7A74D87}" sourceName="Month">
  <pivotTables>
    <pivotTable tabId="2" name="PivotTable7"/>
    <pivotTable tabId="2" name="PivotTable2"/>
    <pivotTable tabId="2" name="PivotTable3"/>
    <pivotTable tabId="2" name="PivotTable4"/>
    <pivotTable tabId="2" name="PivotTable5"/>
    <pivotTable tabId="2" name="PivotTable6"/>
    <pivotTable tabId="2" name="PivotTable8"/>
    <pivotTable tabId="2" name="PivotTable9"/>
  </pivotTables>
  <data>
    <tabular pivotCacheId="1342422896">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C6B5CD1-9445-4073-8A41-E77008553579}" sourceName="Region">
  <pivotTables>
    <pivotTable tabId="2" name="PivotTable7"/>
    <pivotTable tabId="2" name="PivotTable2"/>
    <pivotTable tabId="2" name="PivotTable3"/>
    <pivotTable tabId="2" name="PivotTable4"/>
    <pivotTable tabId="2" name="PivotTable5"/>
    <pivotTable tabId="2" name="PivotTable6"/>
    <pivotTable tabId="2" name="PivotTable8"/>
    <pivotTable tabId="2" name="PivotTable9"/>
  </pivotTables>
  <data>
    <tabular pivotCacheId="1342422896">
      <items count="5">
        <i x="1" s="1"/>
        <i x="0" s="1"/>
        <i x="2" s="1"/>
        <i x="4" s="1"/>
        <i x="3"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A0906F1-F312-4B93-9EA4-DB9025CA0766}" cache="Slicer_Category" caption="Category" columnCount="2" style="SlicerStyleDark1" rowHeight="288000"/>
  <slicer name="Month" xr10:uid="{FEF86C80-1761-4F5E-B994-B0FF3BD42AED}" cache="Slicer_Month" caption="Month" columnCount="4" style="SlicerStyleDark1" rowHeight="288000"/>
  <slicer name="Region" xr10:uid="{4FA97C2B-9874-48D8-8044-C716DA191F2E}" cache="Slicer_Region" caption="Region" columnCount="2" style="SlicerStyleDark1"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5BD15D-447F-4F51-92F7-E92393312E9B}" name="Table1" displayName="Table1" ref="A1:J1826" totalsRowShown="0" headerRowDxfId="15">
  <autoFilter ref="A1:J1826" xr:uid="{705BD15D-447F-4F51-92F7-E92393312E9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EA2C6C26-FF39-4CDF-A84F-C9CEF5B0832F}" name="Date"/>
    <tableColumn id="2" xr3:uid="{39542AEF-ECE2-4CB7-B6BB-2036682DCC60}" name="Converted Date" dataDxfId="14">
      <calculatedColumnFormula>DATE(VALUE(RIGHT(A2,4)),VALUE(LEFT(A2,FIND("/",A2)-1)),VALUE(MID(A2,FIND("/",A2)+1,FIND("/",A2,FIND("/",A2)+1)-FIND("/",A2)-1)))</calculatedColumnFormula>
    </tableColumn>
    <tableColumn id="3" xr3:uid="{AD8F23E7-B028-4FA8-9926-B47B9B577119}" name="Day" dataDxfId="13">
      <calculatedColumnFormula>TEXT(B2,"DDDD")</calculatedColumnFormula>
    </tableColumn>
    <tableColumn id="4" xr3:uid="{6B9ABAA5-AE79-4AB0-AB9E-29246C214804}" name="Month" dataDxfId="12">
      <calculatedColumnFormula>TEXT(B2,"MMMM")</calculatedColumnFormula>
    </tableColumn>
    <tableColumn id="5" xr3:uid="{9688C95F-A335-4516-9438-8B8AD0483B17}" name="Year" dataDxfId="11">
      <calculatedColumnFormula>TEXT(B2,"YYYY")</calculatedColumnFormula>
    </tableColumn>
    <tableColumn id="6" xr3:uid="{64D4053B-0FD0-44D5-B110-16A93F764C3F}" name="Category"/>
    <tableColumn id="7" xr3:uid="{EA6645A8-039E-471E-B5F8-132A012EDBD2}" name="Sales" dataDxfId="10" dataCellStyle="Comma"/>
    <tableColumn id="8" xr3:uid="{38465E9F-F0E9-47BD-9293-3EA1DBC7C5A7}" name="Quantity" dataDxfId="9"/>
    <tableColumn id="9" xr3:uid="{D1E94A72-EDDB-490E-A881-3E7A2C94F09C}" name="Profit" dataDxfId="8" dataCellStyle="Comma"/>
    <tableColumn id="10" xr3:uid="{F6478F81-3067-4BE3-A9AF-496961437BC2}" name="Regio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C1E9C-995B-4B56-B45F-F65667AF8602}">
  <sheetPr>
    <tabColor theme="8" tint="-0.249977111117893"/>
  </sheetPr>
  <dimension ref="A1:N1826"/>
  <sheetViews>
    <sheetView topLeftCell="A1805" zoomScale="104" workbookViewId="0">
      <selection activeCell="G2" sqref="G2:G1826"/>
    </sheetView>
  </sheetViews>
  <sheetFormatPr defaultRowHeight="15" x14ac:dyDescent="0.25"/>
  <cols>
    <col min="1" max="1" width="10.42578125" bestFit="1" customWidth="1"/>
    <col min="2" max="2" width="17.7109375" style="1" bestFit="1" customWidth="1"/>
    <col min="3" max="3" width="11.140625" style="1" bestFit="1" customWidth="1"/>
    <col min="4" max="4" width="11.28515625" style="1" bestFit="1" customWidth="1"/>
    <col min="5" max="5" width="9.5703125" style="1" bestFit="1" customWidth="1"/>
    <col min="6" max="6" width="13.7109375" bestFit="1" customWidth="1"/>
    <col min="7" max="7" width="10.42578125" style="4" bestFit="1" customWidth="1"/>
    <col min="8" max="8" width="13.28515625" style="10" bestFit="1" customWidth="1"/>
    <col min="9" max="9" width="10.5703125" bestFit="1" customWidth="1"/>
    <col min="10" max="10" width="11.85546875" bestFit="1" customWidth="1"/>
    <col min="13" max="13" width="12.85546875" bestFit="1" customWidth="1"/>
  </cols>
  <sheetData>
    <row r="1" spans="1:14" s="3" customFormat="1" x14ac:dyDescent="0.25">
      <c r="A1" s="7" t="s">
        <v>0</v>
      </c>
      <c r="B1" s="12" t="s">
        <v>384</v>
      </c>
      <c r="C1" s="6" t="s">
        <v>381</v>
      </c>
      <c r="D1" s="6" t="s">
        <v>382</v>
      </c>
      <c r="E1" s="6" t="s">
        <v>383</v>
      </c>
      <c r="F1" s="7" t="s">
        <v>1</v>
      </c>
      <c r="G1" s="8" t="s">
        <v>2</v>
      </c>
      <c r="H1" s="9" t="s">
        <v>3</v>
      </c>
      <c r="I1" s="7" t="s">
        <v>4</v>
      </c>
      <c r="J1" s="7" t="s">
        <v>5</v>
      </c>
      <c r="M1" s="20" t="s">
        <v>403</v>
      </c>
      <c r="N1" s="20"/>
    </row>
    <row r="2" spans="1:14" ht="15.75" thickBot="1" x14ac:dyDescent="0.3">
      <c r="A2" s="11" t="s">
        <v>6</v>
      </c>
      <c r="B2" s="1">
        <f>DATE(VALUE(RIGHT(A2,4)),VALUE(LEFT(A2,FIND("/",A2)-1)),VALUE(MID(A2,FIND("/",A2)+1,FIND("/",A2,FIND("/",A2)+1)-FIND("/",A2)-1)))</f>
        <v>44927</v>
      </c>
      <c r="C2" s="1" t="str">
        <f>TEXT(B2,"DDDD")</f>
        <v>Sunday</v>
      </c>
      <c r="D2" s="1" t="str">
        <f>TEXT(B2,"MMMM")</f>
        <v>January</v>
      </c>
      <c r="E2" s="1" t="str">
        <f>TEXT(B2,"YYYY")</f>
        <v>2023</v>
      </c>
      <c r="F2" t="s">
        <v>7</v>
      </c>
      <c r="G2" s="5">
        <v>1149.142459336</v>
      </c>
      <c r="H2" s="10">
        <v>11</v>
      </c>
      <c r="I2" s="2">
        <v>383.66424460000002</v>
      </c>
      <c r="J2" t="s">
        <v>8</v>
      </c>
      <c r="L2" s="1"/>
      <c r="M2" s="17">
        <f>COUNT(Table1[Sales])</f>
        <v>1825</v>
      </c>
    </row>
    <row r="3" spans="1:14" ht="15.75" thickTop="1" x14ac:dyDescent="0.25">
      <c r="A3" t="s">
        <v>6</v>
      </c>
      <c r="B3" s="1">
        <f t="shared" ref="B3:B66" si="0">DATE(VALUE(RIGHT(A3,4)),VALUE(LEFT(A3,FIND("/",A3)-1)),VALUE(MID(A3,FIND("/",A3)+1,FIND("/",A3,FIND("/",A3)+1)-FIND("/",A3)-1)))</f>
        <v>44927</v>
      </c>
      <c r="C3" s="1" t="str">
        <f t="shared" ref="C3:C66" si="1">TEXT(B3,"DDDD")</f>
        <v>Sunday</v>
      </c>
      <c r="D3" s="1" t="str">
        <f t="shared" ref="D3:D66" si="2">TEXT(B3,"MMMM")</f>
        <v>January</v>
      </c>
      <c r="E3" s="1" t="str">
        <f t="shared" ref="E3:E66" si="3">TEXT(B3,"YYYY")</f>
        <v>2023</v>
      </c>
      <c r="F3" t="s">
        <v>9</v>
      </c>
      <c r="G3" s="5">
        <v>958.52796486440002</v>
      </c>
      <c r="H3" s="10">
        <v>7</v>
      </c>
      <c r="I3" s="2">
        <v>224.054048959814</v>
      </c>
      <c r="J3" t="s">
        <v>10</v>
      </c>
    </row>
    <row r="4" spans="1:14" x14ac:dyDescent="0.25">
      <c r="A4" t="s">
        <v>6</v>
      </c>
      <c r="B4" s="1">
        <f t="shared" si="0"/>
        <v>44927</v>
      </c>
      <c r="C4" s="1" t="str">
        <f t="shared" si="1"/>
        <v>Sunday</v>
      </c>
      <c r="D4" s="1" t="str">
        <f t="shared" si="2"/>
        <v>January</v>
      </c>
      <c r="E4" s="1" t="str">
        <f t="shared" si="3"/>
        <v>2023</v>
      </c>
      <c r="F4" t="s">
        <v>11</v>
      </c>
      <c r="G4" s="5">
        <v>1473.7638446522101</v>
      </c>
      <c r="H4" s="10">
        <v>2</v>
      </c>
      <c r="I4" s="2">
        <v>466.59309040026199</v>
      </c>
      <c r="J4" t="s">
        <v>12</v>
      </c>
      <c r="M4" s="20" t="s">
        <v>404</v>
      </c>
      <c r="N4" s="20"/>
    </row>
    <row r="5" spans="1:14" ht="15.75" thickBot="1" x14ac:dyDescent="0.3">
      <c r="A5" t="s">
        <v>6</v>
      </c>
      <c r="B5" s="1">
        <f t="shared" si="0"/>
        <v>44927</v>
      </c>
      <c r="C5" s="1" t="str">
        <f t="shared" si="1"/>
        <v>Sunday</v>
      </c>
      <c r="D5" s="1" t="str">
        <f t="shared" si="2"/>
        <v>January</v>
      </c>
      <c r="E5" s="1" t="str">
        <f t="shared" si="3"/>
        <v>2023</v>
      </c>
      <c r="F5" t="s">
        <v>13</v>
      </c>
      <c r="G5" s="5">
        <v>123.23418745870001</v>
      </c>
      <c r="H5" s="10">
        <v>6</v>
      </c>
      <c r="I5" s="2">
        <v>123.310460302596</v>
      </c>
      <c r="J5" t="s">
        <v>14</v>
      </c>
      <c r="M5" s="18">
        <f>SUM(Table1[Sales])</f>
        <v>1374503.1713131829</v>
      </c>
    </row>
    <row r="6" spans="1:14" ht="15.75" thickTop="1" x14ac:dyDescent="0.25">
      <c r="A6" t="s">
        <v>6</v>
      </c>
      <c r="B6" s="1">
        <f t="shared" si="0"/>
        <v>44927</v>
      </c>
      <c r="C6" s="1" t="str">
        <f t="shared" si="1"/>
        <v>Sunday</v>
      </c>
      <c r="D6" s="1" t="str">
        <f t="shared" si="2"/>
        <v>January</v>
      </c>
      <c r="E6" s="1" t="str">
        <f t="shared" si="3"/>
        <v>2023</v>
      </c>
      <c r="F6" t="s">
        <v>16</v>
      </c>
      <c r="G6" s="5">
        <v>828.58595273756998</v>
      </c>
      <c r="H6" s="10">
        <v>12</v>
      </c>
      <c r="I6" s="2">
        <v>88.591355437943307</v>
      </c>
      <c r="J6" t="s">
        <v>10</v>
      </c>
    </row>
    <row r="7" spans="1:14" x14ac:dyDescent="0.25">
      <c r="A7" t="s">
        <v>15</v>
      </c>
      <c r="B7" s="1">
        <f t="shared" si="0"/>
        <v>44928</v>
      </c>
      <c r="C7" s="1" t="str">
        <f t="shared" si="1"/>
        <v>Monday</v>
      </c>
      <c r="D7" s="1" t="str">
        <f t="shared" si="2"/>
        <v>January</v>
      </c>
      <c r="E7" s="1" t="str">
        <f t="shared" si="3"/>
        <v>2023</v>
      </c>
      <c r="F7" t="s">
        <v>7</v>
      </c>
      <c r="G7" s="5">
        <v>722.77514867586797</v>
      </c>
      <c r="H7" s="10">
        <v>10</v>
      </c>
      <c r="I7" s="2">
        <v>82.396149367770505</v>
      </c>
      <c r="J7" t="s">
        <v>14</v>
      </c>
      <c r="M7" s="20" t="s">
        <v>405</v>
      </c>
      <c r="N7" s="20"/>
    </row>
    <row r="8" spans="1:14" ht="15.75" thickBot="1" x14ac:dyDescent="0.3">
      <c r="A8" t="s">
        <v>15</v>
      </c>
      <c r="B8" s="1">
        <f t="shared" si="0"/>
        <v>44928</v>
      </c>
      <c r="C8" s="1" t="str">
        <f t="shared" si="1"/>
        <v>Monday</v>
      </c>
      <c r="D8" s="1" t="str">
        <f t="shared" si="2"/>
        <v>January</v>
      </c>
      <c r="E8" s="1" t="str">
        <f t="shared" si="3"/>
        <v>2023</v>
      </c>
      <c r="F8" t="s">
        <v>9</v>
      </c>
      <c r="G8" s="5">
        <v>788.99685948777699</v>
      </c>
      <c r="H8" s="10">
        <v>15</v>
      </c>
      <c r="I8" s="2">
        <v>225.27107174327301</v>
      </c>
      <c r="J8" t="s">
        <v>14</v>
      </c>
      <c r="M8" s="18">
        <f>SUM(Table1[Quantity])</f>
        <v>18348</v>
      </c>
    </row>
    <row r="9" spans="1:14" ht="15.75" thickTop="1" x14ac:dyDescent="0.25">
      <c r="A9" t="s">
        <v>15</v>
      </c>
      <c r="B9" s="1">
        <f t="shared" si="0"/>
        <v>44928</v>
      </c>
      <c r="C9" s="1" t="str">
        <f t="shared" si="1"/>
        <v>Monday</v>
      </c>
      <c r="D9" s="1" t="str">
        <f t="shared" si="2"/>
        <v>January</v>
      </c>
      <c r="E9" s="1" t="str">
        <f t="shared" si="3"/>
        <v>2023</v>
      </c>
      <c r="F9" t="s">
        <v>11</v>
      </c>
      <c r="G9" s="5">
        <v>358.11383177127999</v>
      </c>
      <c r="H9" s="10">
        <v>3</v>
      </c>
      <c r="I9" s="2">
        <v>128.19833918632099</v>
      </c>
      <c r="J9" t="s">
        <v>10</v>
      </c>
    </row>
    <row r="10" spans="1:14" x14ac:dyDescent="0.25">
      <c r="A10" t="s">
        <v>15</v>
      </c>
      <c r="B10" s="1">
        <f t="shared" si="0"/>
        <v>44928</v>
      </c>
      <c r="C10" s="1" t="str">
        <f t="shared" si="1"/>
        <v>Monday</v>
      </c>
      <c r="D10" s="1" t="str">
        <f t="shared" si="2"/>
        <v>January</v>
      </c>
      <c r="E10" s="1" t="str">
        <f t="shared" si="3"/>
        <v>2023</v>
      </c>
      <c r="F10" t="s">
        <v>13</v>
      </c>
      <c r="G10" s="5">
        <v>819.92384496822604</v>
      </c>
      <c r="H10" s="10">
        <v>2</v>
      </c>
      <c r="I10" s="2">
        <v>250.29807668244999</v>
      </c>
      <c r="J10" t="s">
        <v>10</v>
      </c>
      <c r="M10" s="20" t="s">
        <v>406</v>
      </c>
      <c r="N10" s="20"/>
    </row>
    <row r="11" spans="1:14" ht="15.75" thickBot="1" x14ac:dyDescent="0.3">
      <c r="A11" t="s">
        <v>15</v>
      </c>
      <c r="B11" s="1">
        <f t="shared" si="0"/>
        <v>44928</v>
      </c>
      <c r="C11" s="1" t="str">
        <f t="shared" si="1"/>
        <v>Monday</v>
      </c>
      <c r="D11" s="1" t="str">
        <f t="shared" si="2"/>
        <v>January</v>
      </c>
      <c r="E11" s="1" t="str">
        <f t="shared" si="3"/>
        <v>2023</v>
      </c>
      <c r="F11" t="s">
        <v>16</v>
      </c>
      <c r="G11" s="5">
        <v>1284.23194631399</v>
      </c>
      <c r="H11" s="10">
        <v>7</v>
      </c>
      <c r="I11" s="2">
        <v>363.43635315216</v>
      </c>
      <c r="J11" t="s">
        <v>14</v>
      </c>
      <c r="M11" s="18">
        <f>SUM(Table1[Profit])</f>
        <v>453870.43718492548</v>
      </c>
    </row>
    <row r="12" spans="1:14" ht="15.75" thickTop="1" x14ac:dyDescent="0.25">
      <c r="A12" t="s">
        <v>17</v>
      </c>
      <c r="B12" s="1">
        <f t="shared" si="0"/>
        <v>44929</v>
      </c>
      <c r="C12" s="1" t="str">
        <f t="shared" si="1"/>
        <v>Tuesday</v>
      </c>
      <c r="D12" s="1" t="str">
        <f t="shared" si="2"/>
        <v>January</v>
      </c>
      <c r="E12" s="1" t="str">
        <f t="shared" si="3"/>
        <v>2023</v>
      </c>
      <c r="F12" t="s">
        <v>7</v>
      </c>
      <c r="G12" s="5">
        <v>1246.7634736395</v>
      </c>
      <c r="H12" s="10">
        <v>2</v>
      </c>
      <c r="I12" s="2">
        <v>283.69699183768898</v>
      </c>
      <c r="J12" t="s">
        <v>12</v>
      </c>
    </row>
    <row r="13" spans="1:14" x14ac:dyDescent="0.25">
      <c r="A13" t="s">
        <v>17</v>
      </c>
      <c r="B13" s="1">
        <f t="shared" si="0"/>
        <v>44929</v>
      </c>
      <c r="C13" s="1" t="str">
        <f t="shared" si="1"/>
        <v>Tuesday</v>
      </c>
      <c r="D13" s="1" t="str">
        <f t="shared" si="2"/>
        <v>January</v>
      </c>
      <c r="E13" s="1" t="str">
        <f t="shared" si="3"/>
        <v>2023</v>
      </c>
      <c r="F13" t="s">
        <v>9</v>
      </c>
      <c r="G13" s="5">
        <v>633.74695869300001</v>
      </c>
      <c r="H13" s="10">
        <v>10</v>
      </c>
      <c r="I13" s="2">
        <v>171.308188219371</v>
      </c>
      <c r="J13" t="s">
        <v>8</v>
      </c>
    </row>
    <row r="14" spans="1:14" x14ac:dyDescent="0.25">
      <c r="A14" t="s">
        <v>17</v>
      </c>
      <c r="B14" s="1">
        <f t="shared" si="0"/>
        <v>44929</v>
      </c>
      <c r="C14" s="1" t="str">
        <f t="shared" si="1"/>
        <v>Tuesday</v>
      </c>
      <c r="D14" s="1" t="str">
        <f t="shared" si="2"/>
        <v>January</v>
      </c>
      <c r="E14" s="1" t="str">
        <f t="shared" si="3"/>
        <v>2023</v>
      </c>
      <c r="F14" t="s">
        <v>11</v>
      </c>
      <c r="G14" s="5">
        <v>1221.5399739986201</v>
      </c>
      <c r="H14" s="10">
        <v>8</v>
      </c>
      <c r="I14" s="2">
        <v>331.20003269871501</v>
      </c>
      <c r="J14" t="s">
        <v>14</v>
      </c>
    </row>
    <row r="15" spans="1:14" x14ac:dyDescent="0.25">
      <c r="A15" t="s">
        <v>17</v>
      </c>
      <c r="B15" s="1">
        <f t="shared" si="0"/>
        <v>44929</v>
      </c>
      <c r="C15" s="1" t="str">
        <f t="shared" si="1"/>
        <v>Tuesday</v>
      </c>
      <c r="D15" s="1" t="str">
        <f t="shared" si="2"/>
        <v>January</v>
      </c>
      <c r="E15" s="1" t="str">
        <f t="shared" si="3"/>
        <v>2023</v>
      </c>
      <c r="F15" t="s">
        <v>13</v>
      </c>
      <c r="G15" s="5">
        <v>746.15692945599994</v>
      </c>
      <c r="H15" s="10">
        <v>10</v>
      </c>
      <c r="I15" s="2">
        <v>371.52657130406902</v>
      </c>
      <c r="J15" t="s">
        <v>380</v>
      </c>
    </row>
    <row r="16" spans="1:14" x14ac:dyDescent="0.25">
      <c r="A16" t="s">
        <v>17</v>
      </c>
      <c r="B16" s="1">
        <f t="shared" si="0"/>
        <v>44929</v>
      </c>
      <c r="C16" s="1" t="str">
        <f t="shared" si="1"/>
        <v>Tuesday</v>
      </c>
      <c r="D16" s="1" t="str">
        <f t="shared" si="2"/>
        <v>January</v>
      </c>
      <c r="E16" s="1" t="str">
        <f t="shared" si="3"/>
        <v>2023</v>
      </c>
      <c r="F16" t="s">
        <v>16</v>
      </c>
      <c r="G16" s="5">
        <v>1232.1112551000001</v>
      </c>
      <c r="H16" s="10">
        <v>13</v>
      </c>
      <c r="I16" s="2">
        <v>175.30126184188299</v>
      </c>
      <c r="J16" t="s">
        <v>10</v>
      </c>
    </row>
    <row r="17" spans="1:10" x14ac:dyDescent="0.25">
      <c r="A17" t="s">
        <v>18</v>
      </c>
      <c r="B17" s="1">
        <f t="shared" si="0"/>
        <v>44930</v>
      </c>
      <c r="C17" s="1" t="str">
        <f t="shared" si="1"/>
        <v>Wednesday</v>
      </c>
      <c r="D17" s="1" t="str">
        <f t="shared" si="2"/>
        <v>January</v>
      </c>
      <c r="E17" s="1" t="str">
        <f t="shared" si="3"/>
        <v>2023</v>
      </c>
      <c r="F17" t="s">
        <v>7</v>
      </c>
      <c r="G17" s="5">
        <v>839</v>
      </c>
      <c r="H17" s="10">
        <v>13</v>
      </c>
      <c r="I17" s="2">
        <v>102.610250599933</v>
      </c>
      <c r="J17" t="s">
        <v>10</v>
      </c>
    </row>
    <row r="18" spans="1:10" x14ac:dyDescent="0.25">
      <c r="A18" t="s">
        <v>18</v>
      </c>
      <c r="B18" s="1">
        <f t="shared" si="0"/>
        <v>44930</v>
      </c>
      <c r="C18" s="1" t="str">
        <f t="shared" si="1"/>
        <v>Wednesday</v>
      </c>
      <c r="D18" s="1" t="str">
        <f t="shared" si="2"/>
        <v>January</v>
      </c>
      <c r="E18" s="1" t="str">
        <f t="shared" si="3"/>
        <v>2023</v>
      </c>
      <c r="F18" t="s">
        <v>9</v>
      </c>
      <c r="G18" s="5">
        <v>437.29696833844002</v>
      </c>
      <c r="H18" s="10">
        <v>8</v>
      </c>
      <c r="I18" s="2">
        <v>44.454138356892102</v>
      </c>
      <c r="J18" t="s">
        <v>10</v>
      </c>
    </row>
    <row r="19" spans="1:10" x14ac:dyDescent="0.25">
      <c r="A19" t="s">
        <v>18</v>
      </c>
      <c r="B19" s="1">
        <f t="shared" si="0"/>
        <v>44930</v>
      </c>
      <c r="C19" s="1" t="str">
        <f t="shared" si="1"/>
        <v>Wednesday</v>
      </c>
      <c r="D19" s="1" t="str">
        <f t="shared" si="2"/>
        <v>January</v>
      </c>
      <c r="E19" s="1" t="str">
        <f t="shared" si="3"/>
        <v>2023</v>
      </c>
      <c r="F19" t="s">
        <v>11</v>
      </c>
      <c r="G19" s="5">
        <v>589.96535833410996</v>
      </c>
      <c r="H19" s="10">
        <v>19</v>
      </c>
      <c r="I19" s="2">
        <v>184.10293967965799</v>
      </c>
      <c r="J19" t="s">
        <v>10</v>
      </c>
    </row>
    <row r="20" spans="1:10" x14ac:dyDescent="0.25">
      <c r="A20" t="s">
        <v>18</v>
      </c>
      <c r="B20" s="1">
        <f t="shared" si="0"/>
        <v>44930</v>
      </c>
      <c r="C20" s="1" t="str">
        <f t="shared" si="1"/>
        <v>Wednesday</v>
      </c>
      <c r="D20" s="1" t="str">
        <f t="shared" si="2"/>
        <v>January</v>
      </c>
      <c r="E20" s="1" t="str">
        <f t="shared" si="3"/>
        <v>2023</v>
      </c>
      <c r="F20" t="s">
        <v>13</v>
      </c>
      <c r="G20" s="5">
        <v>1142.8127762289</v>
      </c>
      <c r="H20" s="10">
        <v>10</v>
      </c>
      <c r="I20" s="2">
        <v>237.17904194889999</v>
      </c>
      <c r="J20" t="s">
        <v>8</v>
      </c>
    </row>
    <row r="21" spans="1:10" x14ac:dyDescent="0.25">
      <c r="A21" t="s">
        <v>18</v>
      </c>
      <c r="B21" s="1">
        <f t="shared" si="0"/>
        <v>44930</v>
      </c>
      <c r="C21" s="1" t="str">
        <f t="shared" si="1"/>
        <v>Wednesday</v>
      </c>
      <c r="D21" s="1" t="str">
        <f t="shared" si="2"/>
        <v>January</v>
      </c>
      <c r="E21" s="1" t="str">
        <f t="shared" si="3"/>
        <v>2023</v>
      </c>
      <c r="F21" t="s">
        <v>16</v>
      </c>
      <c r="G21" s="5">
        <v>1391.9838519570001</v>
      </c>
      <c r="H21" s="10">
        <v>7</v>
      </c>
      <c r="I21" s="2">
        <v>493.85602473472301</v>
      </c>
      <c r="J21" t="s">
        <v>14</v>
      </c>
    </row>
    <row r="22" spans="1:10" x14ac:dyDescent="0.25">
      <c r="A22" t="s">
        <v>19</v>
      </c>
      <c r="B22" s="1">
        <f t="shared" si="0"/>
        <v>44931</v>
      </c>
      <c r="C22" s="1" t="str">
        <f t="shared" si="1"/>
        <v>Thursday</v>
      </c>
      <c r="D22" s="1" t="str">
        <f t="shared" si="2"/>
        <v>January</v>
      </c>
      <c r="E22" s="1" t="str">
        <f t="shared" si="3"/>
        <v>2023</v>
      </c>
      <c r="F22" t="s">
        <v>7</v>
      </c>
      <c r="G22" s="5">
        <v>856</v>
      </c>
      <c r="H22" s="10">
        <v>5</v>
      </c>
      <c r="I22" s="2">
        <v>273.04186276714802</v>
      </c>
      <c r="J22" t="s">
        <v>14</v>
      </c>
    </row>
    <row r="23" spans="1:10" x14ac:dyDescent="0.25">
      <c r="A23" t="s">
        <v>19</v>
      </c>
      <c r="B23" s="1">
        <f t="shared" si="0"/>
        <v>44931</v>
      </c>
      <c r="C23" s="1" t="str">
        <f t="shared" si="1"/>
        <v>Thursday</v>
      </c>
      <c r="D23" s="1" t="str">
        <f t="shared" si="2"/>
        <v>January</v>
      </c>
      <c r="E23" s="1" t="str">
        <f t="shared" si="3"/>
        <v>2023</v>
      </c>
      <c r="F23" t="s">
        <v>9</v>
      </c>
      <c r="G23" s="5">
        <v>944.32378540000002</v>
      </c>
      <c r="H23" s="10">
        <v>3</v>
      </c>
      <c r="I23" s="2">
        <v>228.20432366928401</v>
      </c>
      <c r="J23" t="s">
        <v>8</v>
      </c>
    </row>
    <row r="24" spans="1:10" x14ac:dyDescent="0.25">
      <c r="A24" t="s">
        <v>19</v>
      </c>
      <c r="B24" s="1">
        <f t="shared" si="0"/>
        <v>44931</v>
      </c>
      <c r="C24" s="1" t="str">
        <f t="shared" si="1"/>
        <v>Thursday</v>
      </c>
      <c r="D24" s="1" t="str">
        <f t="shared" si="2"/>
        <v>January</v>
      </c>
      <c r="E24" s="1" t="str">
        <f t="shared" si="3"/>
        <v>2023</v>
      </c>
      <c r="F24" t="s">
        <v>11</v>
      </c>
      <c r="G24" s="5">
        <v>719.87114772638495</v>
      </c>
      <c r="H24" s="10">
        <v>14</v>
      </c>
      <c r="I24" s="2">
        <v>178.62787558175901</v>
      </c>
      <c r="J24" t="s">
        <v>8</v>
      </c>
    </row>
    <row r="25" spans="1:10" x14ac:dyDescent="0.25">
      <c r="A25" t="s">
        <v>19</v>
      </c>
      <c r="B25" s="1">
        <f t="shared" si="0"/>
        <v>44931</v>
      </c>
      <c r="C25" s="1" t="str">
        <f t="shared" si="1"/>
        <v>Thursday</v>
      </c>
      <c r="D25" s="1" t="str">
        <f t="shared" si="2"/>
        <v>January</v>
      </c>
      <c r="E25" s="1" t="str">
        <f t="shared" si="3"/>
        <v>2023</v>
      </c>
      <c r="F25" t="s">
        <v>13</v>
      </c>
      <c r="G25" s="5">
        <v>1235.2624562961801</v>
      </c>
      <c r="H25" s="10">
        <v>15</v>
      </c>
      <c r="I25" s="2">
        <v>281.96385620000001</v>
      </c>
      <c r="J25" t="s">
        <v>12</v>
      </c>
    </row>
    <row r="26" spans="1:10" x14ac:dyDescent="0.25">
      <c r="A26" t="s">
        <v>19</v>
      </c>
      <c r="B26" s="1">
        <f t="shared" si="0"/>
        <v>44931</v>
      </c>
      <c r="C26" s="1" t="str">
        <f t="shared" si="1"/>
        <v>Thursday</v>
      </c>
      <c r="D26" s="1" t="str">
        <f t="shared" si="2"/>
        <v>January</v>
      </c>
      <c r="E26" s="1" t="str">
        <f t="shared" si="3"/>
        <v>2023</v>
      </c>
      <c r="F26" t="s">
        <v>16</v>
      </c>
      <c r="G26" s="5">
        <v>585.78489271832404</v>
      </c>
      <c r="H26" s="10">
        <v>7</v>
      </c>
      <c r="I26" s="2">
        <v>142.117897828298</v>
      </c>
      <c r="J26" t="s">
        <v>8</v>
      </c>
    </row>
    <row r="27" spans="1:10" x14ac:dyDescent="0.25">
      <c r="A27" t="s">
        <v>20</v>
      </c>
      <c r="B27" s="1">
        <f t="shared" si="0"/>
        <v>44932</v>
      </c>
      <c r="C27" s="1" t="str">
        <f t="shared" si="1"/>
        <v>Friday</v>
      </c>
      <c r="D27" s="1" t="str">
        <f t="shared" si="2"/>
        <v>January</v>
      </c>
      <c r="E27" s="1" t="str">
        <f t="shared" si="3"/>
        <v>2023</v>
      </c>
      <c r="F27" t="s">
        <v>7</v>
      </c>
      <c r="G27" s="5">
        <v>916</v>
      </c>
      <c r="H27" s="10">
        <v>4</v>
      </c>
      <c r="I27" s="2">
        <v>340.90921960487702</v>
      </c>
      <c r="J27" t="s">
        <v>10</v>
      </c>
    </row>
    <row r="28" spans="1:10" x14ac:dyDescent="0.25">
      <c r="A28" t="s">
        <v>20</v>
      </c>
      <c r="B28" s="1">
        <f t="shared" si="0"/>
        <v>44932</v>
      </c>
      <c r="C28" s="1" t="str">
        <f t="shared" si="1"/>
        <v>Friday</v>
      </c>
      <c r="D28" s="1" t="str">
        <f t="shared" si="2"/>
        <v>January</v>
      </c>
      <c r="E28" s="1" t="str">
        <f t="shared" si="3"/>
        <v>2023</v>
      </c>
      <c r="F28" t="s">
        <v>9</v>
      </c>
      <c r="G28" s="5">
        <v>1261.81152939715</v>
      </c>
      <c r="H28" s="10">
        <v>4</v>
      </c>
      <c r="I28" s="2">
        <v>483.09220469871599</v>
      </c>
      <c r="J28" t="s">
        <v>10</v>
      </c>
    </row>
    <row r="29" spans="1:10" x14ac:dyDescent="0.25">
      <c r="A29" t="s">
        <v>20</v>
      </c>
      <c r="B29" s="1">
        <f t="shared" si="0"/>
        <v>44932</v>
      </c>
      <c r="C29" s="1" t="str">
        <f t="shared" si="1"/>
        <v>Friday</v>
      </c>
      <c r="D29" s="1" t="str">
        <f t="shared" si="2"/>
        <v>January</v>
      </c>
      <c r="E29" s="1" t="str">
        <f t="shared" si="3"/>
        <v>2023</v>
      </c>
      <c r="F29" t="s">
        <v>11</v>
      </c>
      <c r="G29" s="5">
        <v>1686.16779488718</v>
      </c>
      <c r="H29" s="10">
        <v>19</v>
      </c>
      <c r="I29" s="2">
        <v>250.170622214106</v>
      </c>
      <c r="J29" t="s">
        <v>380</v>
      </c>
    </row>
    <row r="30" spans="1:10" x14ac:dyDescent="0.25">
      <c r="A30" t="s">
        <v>20</v>
      </c>
      <c r="B30" s="1">
        <f t="shared" si="0"/>
        <v>44932</v>
      </c>
      <c r="C30" s="1" t="str">
        <f t="shared" si="1"/>
        <v>Friday</v>
      </c>
      <c r="D30" s="1" t="str">
        <f t="shared" si="2"/>
        <v>January</v>
      </c>
      <c r="E30" s="1" t="str">
        <f t="shared" si="3"/>
        <v>2023</v>
      </c>
      <c r="F30" t="s">
        <v>13</v>
      </c>
      <c r="G30" s="5">
        <v>559.99634446141999</v>
      </c>
      <c r="H30" s="10">
        <v>6</v>
      </c>
      <c r="I30" s="2">
        <v>132.67639478594799</v>
      </c>
      <c r="J30" t="s">
        <v>14</v>
      </c>
    </row>
    <row r="31" spans="1:10" x14ac:dyDescent="0.25">
      <c r="A31" t="s">
        <v>20</v>
      </c>
      <c r="B31" s="1">
        <f t="shared" si="0"/>
        <v>44932</v>
      </c>
      <c r="C31" s="1" t="str">
        <f t="shared" si="1"/>
        <v>Friday</v>
      </c>
      <c r="D31" s="1" t="str">
        <f t="shared" si="2"/>
        <v>January</v>
      </c>
      <c r="E31" s="1" t="str">
        <f t="shared" si="3"/>
        <v>2023</v>
      </c>
      <c r="F31" t="s">
        <v>16</v>
      </c>
      <c r="G31" s="5">
        <v>1267.78884145184</v>
      </c>
      <c r="H31" s="10">
        <v>12</v>
      </c>
      <c r="I31" s="2">
        <v>285.19288342430701</v>
      </c>
      <c r="J31" t="s">
        <v>12</v>
      </c>
    </row>
    <row r="32" spans="1:10" x14ac:dyDescent="0.25">
      <c r="A32" t="s">
        <v>21</v>
      </c>
      <c r="B32" s="1">
        <f t="shared" si="0"/>
        <v>44933</v>
      </c>
      <c r="C32" s="1" t="str">
        <f t="shared" si="1"/>
        <v>Saturday</v>
      </c>
      <c r="D32" s="1" t="str">
        <f t="shared" si="2"/>
        <v>January</v>
      </c>
      <c r="E32" s="1" t="str">
        <f t="shared" si="3"/>
        <v>2023</v>
      </c>
      <c r="F32" t="s">
        <v>7</v>
      </c>
      <c r="G32" s="5">
        <v>1411.558646493</v>
      </c>
      <c r="H32" s="10">
        <v>7</v>
      </c>
      <c r="I32" s="2">
        <v>525.16832052265102</v>
      </c>
      <c r="J32" t="s">
        <v>8</v>
      </c>
    </row>
    <row r="33" spans="1:10" x14ac:dyDescent="0.25">
      <c r="A33" t="s">
        <v>21</v>
      </c>
      <c r="B33" s="1">
        <f t="shared" si="0"/>
        <v>44933</v>
      </c>
      <c r="C33" s="1" t="str">
        <f t="shared" si="1"/>
        <v>Saturday</v>
      </c>
      <c r="D33" s="1" t="str">
        <f t="shared" si="2"/>
        <v>January</v>
      </c>
      <c r="E33" s="1" t="str">
        <f t="shared" si="3"/>
        <v>2023</v>
      </c>
      <c r="F33" t="s">
        <v>9</v>
      </c>
      <c r="G33" s="5">
        <v>152.66598818643999</v>
      </c>
      <c r="H33" s="10">
        <v>13</v>
      </c>
      <c r="I33" s="2">
        <v>377.08514181439602</v>
      </c>
      <c r="J33" t="s">
        <v>10</v>
      </c>
    </row>
    <row r="34" spans="1:10" x14ac:dyDescent="0.25">
      <c r="A34" t="s">
        <v>21</v>
      </c>
      <c r="B34" s="1">
        <f t="shared" si="0"/>
        <v>44933</v>
      </c>
      <c r="C34" s="1" t="str">
        <f t="shared" si="1"/>
        <v>Saturday</v>
      </c>
      <c r="D34" s="1" t="str">
        <f t="shared" si="2"/>
        <v>January</v>
      </c>
      <c r="E34" s="1" t="str">
        <f t="shared" si="3"/>
        <v>2023</v>
      </c>
      <c r="F34" t="s">
        <v>11</v>
      </c>
      <c r="G34" s="5">
        <v>138.1367181153</v>
      </c>
      <c r="H34" s="10">
        <v>5</v>
      </c>
      <c r="I34" s="2">
        <v>319.45648365255499</v>
      </c>
      <c r="J34" t="s">
        <v>12</v>
      </c>
    </row>
    <row r="35" spans="1:10" x14ac:dyDescent="0.25">
      <c r="A35" t="s">
        <v>21</v>
      </c>
      <c r="B35" s="1">
        <f t="shared" si="0"/>
        <v>44933</v>
      </c>
      <c r="C35" s="1" t="str">
        <f t="shared" si="1"/>
        <v>Saturday</v>
      </c>
      <c r="D35" s="1" t="str">
        <f t="shared" si="2"/>
        <v>January</v>
      </c>
      <c r="E35" s="1" t="str">
        <f t="shared" si="3"/>
        <v>2023</v>
      </c>
      <c r="F35" t="s">
        <v>13</v>
      </c>
      <c r="G35" s="5">
        <v>625</v>
      </c>
      <c r="H35" s="10">
        <v>10</v>
      </c>
      <c r="I35" s="2">
        <v>108.302445869038</v>
      </c>
      <c r="J35" t="s">
        <v>10</v>
      </c>
    </row>
    <row r="36" spans="1:10" x14ac:dyDescent="0.25">
      <c r="A36" t="s">
        <v>21</v>
      </c>
      <c r="B36" s="1">
        <f t="shared" si="0"/>
        <v>44933</v>
      </c>
      <c r="C36" s="1" t="str">
        <f t="shared" si="1"/>
        <v>Saturday</v>
      </c>
      <c r="D36" s="1" t="str">
        <f t="shared" si="2"/>
        <v>January</v>
      </c>
      <c r="E36" s="1" t="str">
        <f t="shared" si="3"/>
        <v>2023</v>
      </c>
      <c r="F36" t="s">
        <v>16</v>
      </c>
      <c r="G36" s="5">
        <v>164.48164928419999</v>
      </c>
      <c r="H36" s="10">
        <v>9</v>
      </c>
      <c r="I36" s="2">
        <v>235.411022894399</v>
      </c>
      <c r="J36" t="s">
        <v>12</v>
      </c>
    </row>
    <row r="37" spans="1:10" x14ac:dyDescent="0.25">
      <c r="A37" t="s">
        <v>22</v>
      </c>
      <c r="B37" s="1">
        <f t="shared" si="0"/>
        <v>44934</v>
      </c>
      <c r="C37" s="1" t="str">
        <f t="shared" si="1"/>
        <v>Sunday</v>
      </c>
      <c r="D37" s="1" t="str">
        <f t="shared" si="2"/>
        <v>January</v>
      </c>
      <c r="E37" s="1" t="str">
        <f t="shared" si="3"/>
        <v>2023</v>
      </c>
      <c r="F37" t="s">
        <v>7</v>
      </c>
      <c r="G37" s="5">
        <v>393.35524127899998</v>
      </c>
      <c r="H37" s="10">
        <v>17</v>
      </c>
      <c r="I37" s="2">
        <v>69.290452181311196</v>
      </c>
      <c r="J37" t="s">
        <v>14</v>
      </c>
    </row>
    <row r="38" spans="1:10" x14ac:dyDescent="0.25">
      <c r="A38" t="s">
        <v>22</v>
      </c>
      <c r="B38" s="1">
        <f t="shared" si="0"/>
        <v>44934</v>
      </c>
      <c r="C38" s="1" t="str">
        <f t="shared" si="1"/>
        <v>Sunday</v>
      </c>
      <c r="D38" s="1" t="str">
        <f t="shared" si="2"/>
        <v>January</v>
      </c>
      <c r="E38" s="1" t="str">
        <f t="shared" si="3"/>
        <v>2023</v>
      </c>
      <c r="F38" t="s">
        <v>9</v>
      </c>
      <c r="G38" s="5">
        <v>994.43475864657</v>
      </c>
      <c r="H38" s="10">
        <v>17</v>
      </c>
      <c r="I38" s="2">
        <v>143.622312998724</v>
      </c>
      <c r="J38" t="s">
        <v>14</v>
      </c>
    </row>
    <row r="39" spans="1:10" x14ac:dyDescent="0.25">
      <c r="A39" t="s">
        <v>22</v>
      </c>
      <c r="B39" s="1">
        <f t="shared" si="0"/>
        <v>44934</v>
      </c>
      <c r="C39" s="1" t="str">
        <f t="shared" si="1"/>
        <v>Sunday</v>
      </c>
      <c r="D39" s="1" t="str">
        <f t="shared" si="2"/>
        <v>January</v>
      </c>
      <c r="E39" s="1" t="str">
        <f t="shared" si="3"/>
        <v>2023</v>
      </c>
      <c r="F39" t="s">
        <v>11</v>
      </c>
      <c r="G39" s="5">
        <v>497.94861342933001</v>
      </c>
      <c r="H39" s="10">
        <v>17</v>
      </c>
      <c r="I39" s="2">
        <v>89.647832179999995</v>
      </c>
      <c r="J39" t="s">
        <v>12</v>
      </c>
    </row>
    <row r="40" spans="1:10" x14ac:dyDescent="0.25">
      <c r="A40" t="s">
        <v>22</v>
      </c>
      <c r="B40" s="1">
        <f t="shared" si="0"/>
        <v>44934</v>
      </c>
      <c r="C40" s="1" t="str">
        <f t="shared" si="1"/>
        <v>Sunday</v>
      </c>
      <c r="D40" s="1" t="str">
        <f t="shared" si="2"/>
        <v>January</v>
      </c>
      <c r="E40" s="1" t="str">
        <f t="shared" si="3"/>
        <v>2023</v>
      </c>
      <c r="F40" t="s">
        <v>13</v>
      </c>
      <c r="G40" s="5">
        <v>82.245392695600003</v>
      </c>
      <c r="H40" s="10">
        <v>5</v>
      </c>
      <c r="I40" s="2">
        <v>163.27406795481301</v>
      </c>
      <c r="J40" t="s">
        <v>8</v>
      </c>
    </row>
    <row r="41" spans="1:10" x14ac:dyDescent="0.25">
      <c r="A41" t="s">
        <v>22</v>
      </c>
      <c r="B41" s="1">
        <f t="shared" si="0"/>
        <v>44934</v>
      </c>
      <c r="C41" s="1" t="str">
        <f t="shared" si="1"/>
        <v>Sunday</v>
      </c>
      <c r="D41" s="1" t="str">
        <f t="shared" si="2"/>
        <v>January</v>
      </c>
      <c r="E41" s="1" t="str">
        <f t="shared" si="3"/>
        <v>2023</v>
      </c>
      <c r="F41" t="s">
        <v>16</v>
      </c>
      <c r="G41" s="5">
        <v>11.181191329420001</v>
      </c>
      <c r="H41" s="10">
        <v>19</v>
      </c>
      <c r="I41" s="2">
        <v>304.57096761255099</v>
      </c>
      <c r="J41" t="s">
        <v>8</v>
      </c>
    </row>
    <row r="42" spans="1:10" x14ac:dyDescent="0.25">
      <c r="A42" t="s">
        <v>23</v>
      </c>
      <c r="B42" s="1">
        <f t="shared" si="0"/>
        <v>44935</v>
      </c>
      <c r="C42" s="1" t="str">
        <f t="shared" si="1"/>
        <v>Monday</v>
      </c>
      <c r="D42" s="1" t="str">
        <f t="shared" si="2"/>
        <v>January</v>
      </c>
      <c r="E42" s="1" t="str">
        <f t="shared" si="3"/>
        <v>2023</v>
      </c>
      <c r="F42" t="s">
        <v>7</v>
      </c>
      <c r="G42" s="5">
        <v>111.94628925599</v>
      </c>
      <c r="H42" s="10">
        <v>0</v>
      </c>
      <c r="I42" s="2">
        <v>136.92343580350101</v>
      </c>
      <c r="J42" t="s">
        <v>14</v>
      </c>
    </row>
    <row r="43" spans="1:10" x14ac:dyDescent="0.25">
      <c r="A43" t="s">
        <v>23</v>
      </c>
      <c r="B43" s="1">
        <f t="shared" si="0"/>
        <v>44935</v>
      </c>
      <c r="C43" s="1" t="str">
        <f t="shared" si="1"/>
        <v>Monday</v>
      </c>
      <c r="D43" s="1" t="str">
        <f t="shared" si="2"/>
        <v>January</v>
      </c>
      <c r="E43" s="1" t="str">
        <f t="shared" si="3"/>
        <v>2023</v>
      </c>
      <c r="F43" t="s">
        <v>9</v>
      </c>
      <c r="G43" s="5">
        <v>997.78595516628002</v>
      </c>
      <c r="H43" s="10">
        <v>17</v>
      </c>
      <c r="I43" s="2">
        <v>317.759808959184</v>
      </c>
      <c r="J43" t="s">
        <v>14</v>
      </c>
    </row>
    <row r="44" spans="1:10" x14ac:dyDescent="0.25">
      <c r="A44" t="s">
        <v>23</v>
      </c>
      <c r="B44" s="1">
        <f t="shared" si="0"/>
        <v>44935</v>
      </c>
      <c r="C44" s="1" t="str">
        <f t="shared" si="1"/>
        <v>Monday</v>
      </c>
      <c r="D44" s="1" t="str">
        <f t="shared" si="2"/>
        <v>January</v>
      </c>
      <c r="E44" s="1" t="str">
        <f t="shared" si="3"/>
        <v>2023</v>
      </c>
      <c r="F44" t="s">
        <v>11</v>
      </c>
      <c r="G44" s="5">
        <v>116.84794911681</v>
      </c>
      <c r="H44" s="10">
        <v>11</v>
      </c>
      <c r="I44" s="2">
        <v>381.78457825162297</v>
      </c>
      <c r="J44" t="s">
        <v>14</v>
      </c>
    </row>
    <row r="45" spans="1:10" x14ac:dyDescent="0.25">
      <c r="A45" t="s">
        <v>23</v>
      </c>
      <c r="B45" s="1">
        <f t="shared" si="0"/>
        <v>44935</v>
      </c>
      <c r="C45" s="1" t="str">
        <f t="shared" si="1"/>
        <v>Monday</v>
      </c>
      <c r="D45" s="1" t="str">
        <f t="shared" si="2"/>
        <v>January</v>
      </c>
      <c r="E45" s="1" t="str">
        <f t="shared" si="3"/>
        <v>2023</v>
      </c>
      <c r="F45" t="s">
        <v>13</v>
      </c>
      <c r="G45" s="5">
        <v>993.43573769836996</v>
      </c>
      <c r="H45" s="10">
        <v>10</v>
      </c>
      <c r="I45" s="2">
        <v>144.262032111851</v>
      </c>
      <c r="J45" t="s">
        <v>10</v>
      </c>
    </row>
    <row r="46" spans="1:10" x14ac:dyDescent="0.25">
      <c r="A46" t="s">
        <v>23</v>
      </c>
      <c r="B46" s="1">
        <f t="shared" si="0"/>
        <v>44935</v>
      </c>
      <c r="C46" s="1" t="str">
        <f t="shared" si="1"/>
        <v>Monday</v>
      </c>
      <c r="D46" s="1" t="str">
        <f t="shared" si="2"/>
        <v>January</v>
      </c>
      <c r="E46" s="1" t="str">
        <f t="shared" si="3"/>
        <v>2023</v>
      </c>
      <c r="F46" t="s">
        <v>16</v>
      </c>
      <c r="G46" s="5">
        <v>1511.9814861353</v>
      </c>
      <c r="H46" s="10">
        <v>19</v>
      </c>
      <c r="I46" s="2">
        <v>473.77162667959499</v>
      </c>
      <c r="J46" t="s">
        <v>10</v>
      </c>
    </row>
    <row r="47" spans="1:10" x14ac:dyDescent="0.25">
      <c r="A47" t="s">
        <v>24</v>
      </c>
      <c r="B47" s="1">
        <f t="shared" si="0"/>
        <v>44936</v>
      </c>
      <c r="C47" s="1" t="str">
        <f t="shared" si="1"/>
        <v>Tuesday</v>
      </c>
      <c r="D47" s="1" t="str">
        <f t="shared" si="2"/>
        <v>January</v>
      </c>
      <c r="E47" s="1" t="str">
        <f t="shared" si="3"/>
        <v>2023</v>
      </c>
      <c r="F47" t="s">
        <v>7</v>
      </c>
      <c r="G47" s="5">
        <v>836.92212288292001</v>
      </c>
      <c r="H47" s="10">
        <v>19</v>
      </c>
      <c r="I47" s="2">
        <v>258.22066110469001</v>
      </c>
      <c r="J47" t="s">
        <v>10</v>
      </c>
    </row>
    <row r="48" spans="1:10" x14ac:dyDescent="0.25">
      <c r="A48" t="s">
        <v>24</v>
      </c>
      <c r="B48" s="1">
        <f t="shared" si="0"/>
        <v>44936</v>
      </c>
      <c r="C48" s="1" t="str">
        <f t="shared" si="1"/>
        <v>Tuesday</v>
      </c>
      <c r="D48" s="1" t="str">
        <f t="shared" si="2"/>
        <v>January</v>
      </c>
      <c r="E48" s="1" t="str">
        <f t="shared" si="3"/>
        <v>2023</v>
      </c>
      <c r="F48" t="s">
        <v>9</v>
      </c>
      <c r="G48" s="5">
        <v>116.98971460999999</v>
      </c>
      <c r="H48" s="10">
        <v>7</v>
      </c>
      <c r="I48" s="2">
        <v>442.32526169399398</v>
      </c>
      <c r="J48" t="s">
        <v>8</v>
      </c>
    </row>
    <row r="49" spans="1:10" x14ac:dyDescent="0.25">
      <c r="A49" t="s">
        <v>24</v>
      </c>
      <c r="B49" s="1">
        <f t="shared" si="0"/>
        <v>44936</v>
      </c>
      <c r="C49" s="1" t="str">
        <f t="shared" si="1"/>
        <v>Tuesday</v>
      </c>
      <c r="D49" s="1" t="str">
        <f t="shared" si="2"/>
        <v>January</v>
      </c>
      <c r="E49" s="1" t="str">
        <f t="shared" si="3"/>
        <v>2023</v>
      </c>
      <c r="F49" t="s">
        <v>11</v>
      </c>
      <c r="G49" s="5">
        <v>725.59272621616003</v>
      </c>
      <c r="H49" s="10">
        <v>11</v>
      </c>
      <c r="I49" s="2">
        <v>146.801850533475</v>
      </c>
      <c r="J49" t="s">
        <v>8</v>
      </c>
    </row>
    <row r="50" spans="1:10" x14ac:dyDescent="0.25">
      <c r="A50" t="s">
        <v>24</v>
      </c>
      <c r="B50" s="1">
        <f t="shared" si="0"/>
        <v>44936</v>
      </c>
      <c r="C50" s="1" t="str">
        <f t="shared" si="1"/>
        <v>Tuesday</v>
      </c>
      <c r="D50" s="1" t="str">
        <f t="shared" si="2"/>
        <v>January</v>
      </c>
      <c r="E50" s="1" t="str">
        <f t="shared" si="3"/>
        <v>2023</v>
      </c>
      <c r="F50" t="s">
        <v>13</v>
      </c>
      <c r="G50" s="5">
        <v>161.69542200000001</v>
      </c>
      <c r="H50" s="10">
        <v>10</v>
      </c>
      <c r="I50" s="2">
        <v>188.32610806224301</v>
      </c>
      <c r="J50" t="s">
        <v>14</v>
      </c>
    </row>
    <row r="51" spans="1:10" x14ac:dyDescent="0.25">
      <c r="A51" t="s">
        <v>24</v>
      </c>
      <c r="B51" s="1">
        <f t="shared" si="0"/>
        <v>44936</v>
      </c>
      <c r="C51" s="1" t="str">
        <f t="shared" si="1"/>
        <v>Tuesday</v>
      </c>
      <c r="D51" s="1" t="str">
        <f t="shared" si="2"/>
        <v>January</v>
      </c>
      <c r="E51" s="1" t="str">
        <f t="shared" si="3"/>
        <v>2023</v>
      </c>
      <c r="F51" t="s">
        <v>16</v>
      </c>
      <c r="G51" s="5">
        <v>566.95499449112799</v>
      </c>
      <c r="H51" s="10">
        <v>16</v>
      </c>
      <c r="I51" s="2">
        <v>195.69396185304501</v>
      </c>
      <c r="J51" t="s">
        <v>8</v>
      </c>
    </row>
    <row r="52" spans="1:10" x14ac:dyDescent="0.25">
      <c r="A52" t="s">
        <v>25</v>
      </c>
      <c r="B52" s="1">
        <f t="shared" si="0"/>
        <v>44937</v>
      </c>
      <c r="C52" s="1" t="str">
        <f t="shared" si="1"/>
        <v>Wednesday</v>
      </c>
      <c r="D52" s="1" t="str">
        <f t="shared" si="2"/>
        <v>January</v>
      </c>
      <c r="E52" s="1" t="str">
        <f t="shared" si="3"/>
        <v>2023</v>
      </c>
      <c r="F52" t="s">
        <v>7</v>
      </c>
      <c r="G52" s="5">
        <v>486.84112644249001</v>
      </c>
      <c r="H52" s="10">
        <v>1</v>
      </c>
      <c r="I52" s="2">
        <v>62.2819895503103</v>
      </c>
      <c r="J52" t="s">
        <v>14</v>
      </c>
    </row>
    <row r="53" spans="1:10" x14ac:dyDescent="0.25">
      <c r="A53" t="s">
        <v>25</v>
      </c>
      <c r="B53" s="1">
        <f t="shared" si="0"/>
        <v>44937</v>
      </c>
      <c r="C53" s="1" t="str">
        <f t="shared" si="1"/>
        <v>Wednesday</v>
      </c>
      <c r="D53" s="1" t="str">
        <f t="shared" si="2"/>
        <v>January</v>
      </c>
      <c r="E53" s="1" t="str">
        <f t="shared" si="3"/>
        <v>2023</v>
      </c>
      <c r="F53" t="s">
        <v>9</v>
      </c>
      <c r="G53" s="5">
        <v>135.69354756879</v>
      </c>
      <c r="H53" s="10">
        <v>5</v>
      </c>
      <c r="I53" s="2">
        <v>383.33650633242701</v>
      </c>
      <c r="J53" t="s">
        <v>10</v>
      </c>
    </row>
    <row r="54" spans="1:10" x14ac:dyDescent="0.25">
      <c r="A54" t="s">
        <v>25</v>
      </c>
      <c r="B54" s="1">
        <f t="shared" si="0"/>
        <v>44937</v>
      </c>
      <c r="C54" s="1" t="str">
        <f t="shared" si="1"/>
        <v>Wednesday</v>
      </c>
      <c r="D54" s="1" t="str">
        <f t="shared" si="2"/>
        <v>January</v>
      </c>
      <c r="E54" s="1" t="str">
        <f t="shared" si="3"/>
        <v>2023</v>
      </c>
      <c r="F54" t="s">
        <v>11</v>
      </c>
      <c r="G54" s="5">
        <v>819.58826328481996</v>
      </c>
      <c r="H54" s="10">
        <v>19</v>
      </c>
      <c r="I54" s="2">
        <v>260.45188918274499</v>
      </c>
      <c r="J54" t="s">
        <v>10</v>
      </c>
    </row>
    <row r="55" spans="1:10" x14ac:dyDescent="0.25">
      <c r="A55" t="s">
        <v>25</v>
      </c>
      <c r="B55" s="1">
        <f t="shared" si="0"/>
        <v>44937</v>
      </c>
      <c r="C55" s="1" t="str">
        <f t="shared" si="1"/>
        <v>Wednesday</v>
      </c>
      <c r="D55" s="1" t="str">
        <f t="shared" si="2"/>
        <v>January</v>
      </c>
      <c r="E55" s="1" t="str">
        <f t="shared" si="3"/>
        <v>2023</v>
      </c>
      <c r="F55" t="s">
        <v>13</v>
      </c>
      <c r="G55" s="5">
        <v>746.15692945599994</v>
      </c>
      <c r="H55" s="10">
        <v>1</v>
      </c>
      <c r="I55" s="2">
        <v>218.291274312724</v>
      </c>
      <c r="J55" t="s">
        <v>10</v>
      </c>
    </row>
    <row r="56" spans="1:10" x14ac:dyDescent="0.25">
      <c r="A56" t="s">
        <v>25</v>
      </c>
      <c r="B56" s="1">
        <f t="shared" si="0"/>
        <v>44937</v>
      </c>
      <c r="C56" s="1" t="str">
        <f t="shared" si="1"/>
        <v>Wednesday</v>
      </c>
      <c r="D56" s="1" t="str">
        <f t="shared" si="2"/>
        <v>January</v>
      </c>
      <c r="E56" s="1" t="str">
        <f t="shared" si="3"/>
        <v>2023</v>
      </c>
      <c r="F56" t="s">
        <v>16</v>
      </c>
      <c r="G56" s="5">
        <v>1256.19933594847</v>
      </c>
      <c r="H56" s="10">
        <v>16</v>
      </c>
      <c r="I56" s="2">
        <v>163.86047902463901</v>
      </c>
      <c r="J56" t="s">
        <v>10</v>
      </c>
    </row>
    <row r="57" spans="1:10" x14ac:dyDescent="0.25">
      <c r="A57" t="s">
        <v>26</v>
      </c>
      <c r="B57" s="1">
        <f t="shared" si="0"/>
        <v>44938</v>
      </c>
      <c r="C57" s="1" t="str">
        <f t="shared" si="1"/>
        <v>Thursday</v>
      </c>
      <c r="D57" s="1" t="str">
        <f t="shared" si="2"/>
        <v>January</v>
      </c>
      <c r="E57" s="1" t="str">
        <f t="shared" si="3"/>
        <v>2023</v>
      </c>
      <c r="F57" t="s">
        <v>7</v>
      </c>
      <c r="G57" s="5">
        <v>1536.5781571976299</v>
      </c>
      <c r="H57" s="10">
        <v>18</v>
      </c>
      <c r="I57" s="2">
        <v>227.78605751265599</v>
      </c>
      <c r="J57" t="s">
        <v>12</v>
      </c>
    </row>
    <row r="58" spans="1:10" x14ac:dyDescent="0.25">
      <c r="A58" t="s">
        <v>26</v>
      </c>
      <c r="B58" s="1">
        <f t="shared" si="0"/>
        <v>44938</v>
      </c>
      <c r="C58" s="1" t="str">
        <f t="shared" si="1"/>
        <v>Thursday</v>
      </c>
      <c r="D58" s="1" t="str">
        <f t="shared" si="2"/>
        <v>January</v>
      </c>
      <c r="E58" s="1" t="str">
        <f t="shared" si="3"/>
        <v>2023</v>
      </c>
      <c r="F58" t="s">
        <v>9</v>
      </c>
      <c r="G58" s="5">
        <v>136.162931958287</v>
      </c>
      <c r="H58" s="10">
        <v>9</v>
      </c>
      <c r="I58" s="2">
        <v>20.802642658843599</v>
      </c>
      <c r="J58" t="s">
        <v>14</v>
      </c>
    </row>
    <row r="59" spans="1:10" x14ac:dyDescent="0.25">
      <c r="A59" t="s">
        <v>26</v>
      </c>
      <c r="B59" s="1">
        <f t="shared" si="0"/>
        <v>44938</v>
      </c>
      <c r="C59" s="1" t="str">
        <f t="shared" si="1"/>
        <v>Thursday</v>
      </c>
      <c r="D59" s="1" t="str">
        <f t="shared" si="2"/>
        <v>January</v>
      </c>
      <c r="E59" s="1" t="str">
        <f t="shared" si="3"/>
        <v>2023</v>
      </c>
      <c r="F59" t="s">
        <v>11</v>
      </c>
      <c r="G59" s="5">
        <v>759.46749624999995</v>
      </c>
      <c r="H59" s="10">
        <v>1</v>
      </c>
      <c r="I59" s="2">
        <v>188.37118852136001</v>
      </c>
      <c r="J59" t="s">
        <v>14</v>
      </c>
    </row>
    <row r="60" spans="1:10" x14ac:dyDescent="0.25">
      <c r="A60" t="s">
        <v>26</v>
      </c>
      <c r="B60" s="1">
        <f t="shared" si="0"/>
        <v>44938</v>
      </c>
      <c r="C60" s="1" t="str">
        <f t="shared" si="1"/>
        <v>Thursday</v>
      </c>
      <c r="D60" s="1" t="str">
        <f t="shared" si="2"/>
        <v>January</v>
      </c>
      <c r="E60" s="1" t="str">
        <f t="shared" si="3"/>
        <v>2023</v>
      </c>
      <c r="F60" t="s">
        <v>13</v>
      </c>
      <c r="G60" s="5">
        <v>123.9932797923</v>
      </c>
      <c r="H60" s="10">
        <v>7</v>
      </c>
      <c r="I60" s="2">
        <v>389.34096579999999</v>
      </c>
      <c r="J60" t="s">
        <v>14</v>
      </c>
    </row>
    <row r="61" spans="1:10" x14ac:dyDescent="0.25">
      <c r="A61" t="s">
        <v>26</v>
      </c>
      <c r="B61" s="1">
        <f t="shared" si="0"/>
        <v>44938</v>
      </c>
      <c r="C61" s="1" t="str">
        <f t="shared" si="1"/>
        <v>Thursday</v>
      </c>
      <c r="D61" s="1" t="str">
        <f t="shared" si="2"/>
        <v>January</v>
      </c>
      <c r="E61" s="1" t="str">
        <f t="shared" si="3"/>
        <v>2023</v>
      </c>
      <c r="F61" t="s">
        <v>16</v>
      </c>
      <c r="G61" s="5">
        <v>849.22161818129996</v>
      </c>
      <c r="H61" s="10">
        <v>1</v>
      </c>
      <c r="I61" s="2">
        <v>362.74746579124502</v>
      </c>
      <c r="J61" t="s">
        <v>10</v>
      </c>
    </row>
    <row r="62" spans="1:10" x14ac:dyDescent="0.25">
      <c r="A62" t="s">
        <v>27</v>
      </c>
      <c r="B62" s="1">
        <f t="shared" si="0"/>
        <v>44939</v>
      </c>
      <c r="C62" s="1" t="str">
        <f t="shared" si="1"/>
        <v>Friday</v>
      </c>
      <c r="D62" s="1" t="str">
        <f t="shared" si="2"/>
        <v>January</v>
      </c>
      <c r="E62" s="1" t="str">
        <f t="shared" si="3"/>
        <v>2023</v>
      </c>
      <c r="F62" t="s">
        <v>7</v>
      </c>
      <c r="G62" s="5">
        <v>589</v>
      </c>
      <c r="H62" s="10">
        <v>14</v>
      </c>
      <c r="I62" s="2">
        <v>163.140892452023</v>
      </c>
      <c r="J62" t="s">
        <v>12</v>
      </c>
    </row>
    <row r="63" spans="1:10" x14ac:dyDescent="0.25">
      <c r="A63" t="s">
        <v>27</v>
      </c>
      <c r="B63" s="1">
        <f t="shared" si="0"/>
        <v>44939</v>
      </c>
      <c r="C63" s="1" t="str">
        <f t="shared" si="1"/>
        <v>Friday</v>
      </c>
      <c r="D63" s="1" t="str">
        <f t="shared" si="2"/>
        <v>January</v>
      </c>
      <c r="E63" s="1" t="str">
        <f t="shared" si="3"/>
        <v>2023</v>
      </c>
      <c r="F63" t="s">
        <v>9</v>
      </c>
      <c r="G63" s="5">
        <v>768.46577515221998</v>
      </c>
      <c r="H63" s="10">
        <v>13</v>
      </c>
      <c r="I63" s="2">
        <v>189.05998327714701</v>
      </c>
      <c r="J63" t="s">
        <v>14</v>
      </c>
    </row>
    <row r="64" spans="1:10" x14ac:dyDescent="0.25">
      <c r="A64" t="s">
        <v>27</v>
      </c>
      <c r="B64" s="1">
        <f t="shared" si="0"/>
        <v>44939</v>
      </c>
      <c r="C64" s="1" t="str">
        <f t="shared" si="1"/>
        <v>Friday</v>
      </c>
      <c r="D64" s="1" t="str">
        <f t="shared" si="2"/>
        <v>January</v>
      </c>
      <c r="E64" s="1" t="str">
        <f t="shared" si="3"/>
        <v>2023</v>
      </c>
      <c r="F64" t="s">
        <v>11</v>
      </c>
      <c r="G64" s="5">
        <v>1362.8145912599</v>
      </c>
      <c r="H64" s="10">
        <v>1</v>
      </c>
      <c r="I64" s="2">
        <v>372.14536862826401</v>
      </c>
      <c r="J64" t="s">
        <v>14</v>
      </c>
    </row>
    <row r="65" spans="1:10" x14ac:dyDescent="0.25">
      <c r="A65" t="s">
        <v>27</v>
      </c>
      <c r="B65" s="1">
        <f t="shared" si="0"/>
        <v>44939</v>
      </c>
      <c r="C65" s="1" t="str">
        <f t="shared" si="1"/>
        <v>Friday</v>
      </c>
      <c r="D65" s="1" t="str">
        <f t="shared" si="2"/>
        <v>January</v>
      </c>
      <c r="E65" s="1" t="str">
        <f t="shared" si="3"/>
        <v>2023</v>
      </c>
      <c r="F65" t="s">
        <v>13</v>
      </c>
      <c r="G65" s="5">
        <v>1161.3881175900001</v>
      </c>
      <c r="H65" s="10">
        <v>1</v>
      </c>
      <c r="I65" s="2">
        <v>184.16465910947301</v>
      </c>
      <c r="J65" t="s">
        <v>8</v>
      </c>
    </row>
    <row r="66" spans="1:10" x14ac:dyDescent="0.25">
      <c r="A66" t="s">
        <v>27</v>
      </c>
      <c r="B66" s="1">
        <f t="shared" si="0"/>
        <v>44939</v>
      </c>
      <c r="C66" s="1" t="str">
        <f t="shared" si="1"/>
        <v>Friday</v>
      </c>
      <c r="D66" s="1" t="str">
        <f t="shared" si="2"/>
        <v>January</v>
      </c>
      <c r="E66" s="1" t="str">
        <f t="shared" si="3"/>
        <v>2023</v>
      </c>
      <c r="F66" t="s">
        <v>16</v>
      </c>
      <c r="G66" s="5">
        <v>1835.18141394695</v>
      </c>
      <c r="H66" s="10">
        <v>17</v>
      </c>
      <c r="I66" s="2">
        <v>207.524390845211</v>
      </c>
      <c r="J66" t="s">
        <v>14</v>
      </c>
    </row>
    <row r="67" spans="1:10" x14ac:dyDescent="0.25">
      <c r="A67" t="s">
        <v>28</v>
      </c>
      <c r="B67" s="1">
        <f t="shared" ref="B67:B130" si="4">DATE(VALUE(RIGHT(A67,4)),VALUE(LEFT(A67,FIND("/",A67)-1)),VALUE(MID(A67,FIND("/",A67)+1,FIND("/",A67,FIND("/",A67)+1)-FIND("/",A67)-1)))</f>
        <v>44940</v>
      </c>
      <c r="C67" s="1" t="str">
        <f t="shared" ref="C67:C130" si="5">TEXT(B67,"DDDD")</f>
        <v>Saturday</v>
      </c>
      <c r="D67" s="1" t="str">
        <f t="shared" ref="D67:D130" si="6">TEXT(B67,"MMMM")</f>
        <v>January</v>
      </c>
      <c r="E67" s="1" t="str">
        <f t="shared" ref="E67:E130" si="7">TEXT(B67,"YYYY")</f>
        <v>2023</v>
      </c>
      <c r="F67" t="s">
        <v>7</v>
      </c>
      <c r="G67" s="5">
        <v>99.643965499459995</v>
      </c>
      <c r="H67" s="10">
        <v>14</v>
      </c>
      <c r="I67" s="2">
        <v>370.95586092322299</v>
      </c>
      <c r="J67" t="s">
        <v>10</v>
      </c>
    </row>
    <row r="68" spans="1:10" x14ac:dyDescent="0.25">
      <c r="A68" t="s">
        <v>28</v>
      </c>
      <c r="B68" s="1">
        <f t="shared" si="4"/>
        <v>44940</v>
      </c>
      <c r="C68" s="1" t="str">
        <f t="shared" si="5"/>
        <v>Saturday</v>
      </c>
      <c r="D68" s="1" t="str">
        <f t="shared" si="6"/>
        <v>January</v>
      </c>
      <c r="E68" s="1" t="str">
        <f t="shared" si="7"/>
        <v>2023</v>
      </c>
      <c r="F68" t="s">
        <v>9</v>
      </c>
      <c r="G68" s="5">
        <v>1181.8388892972</v>
      </c>
      <c r="H68" s="10">
        <v>3</v>
      </c>
      <c r="I68" s="2">
        <v>465.762054269521</v>
      </c>
      <c r="J68" t="s">
        <v>14</v>
      </c>
    </row>
    <row r="69" spans="1:10" x14ac:dyDescent="0.25">
      <c r="A69" t="s">
        <v>28</v>
      </c>
      <c r="B69" s="1">
        <f t="shared" si="4"/>
        <v>44940</v>
      </c>
      <c r="C69" s="1" t="str">
        <f t="shared" si="5"/>
        <v>Saturday</v>
      </c>
      <c r="D69" s="1" t="str">
        <f t="shared" si="6"/>
        <v>January</v>
      </c>
      <c r="E69" s="1" t="str">
        <f t="shared" si="7"/>
        <v>2023</v>
      </c>
      <c r="F69" t="s">
        <v>11</v>
      </c>
      <c r="G69" s="5">
        <v>416.73112187511998</v>
      </c>
      <c r="H69" s="10">
        <v>1</v>
      </c>
      <c r="I69" s="2">
        <v>81.294491014218394</v>
      </c>
      <c r="J69" t="s">
        <v>14</v>
      </c>
    </row>
    <row r="70" spans="1:10" x14ac:dyDescent="0.25">
      <c r="A70" t="s">
        <v>28</v>
      </c>
      <c r="B70" s="1">
        <f t="shared" si="4"/>
        <v>44940</v>
      </c>
      <c r="C70" s="1" t="str">
        <f t="shared" si="5"/>
        <v>Saturday</v>
      </c>
      <c r="D70" s="1" t="str">
        <f t="shared" si="6"/>
        <v>January</v>
      </c>
      <c r="E70" s="1" t="str">
        <f t="shared" si="7"/>
        <v>2023</v>
      </c>
      <c r="F70" t="s">
        <v>13</v>
      </c>
      <c r="G70" s="5">
        <v>597.57895616149995</v>
      </c>
      <c r="H70" s="10">
        <v>3</v>
      </c>
      <c r="I70" s="2">
        <v>161.95486180431999</v>
      </c>
      <c r="J70" t="s">
        <v>14</v>
      </c>
    </row>
    <row r="71" spans="1:10" x14ac:dyDescent="0.25">
      <c r="A71" t="s">
        <v>28</v>
      </c>
      <c r="B71" s="1">
        <f t="shared" si="4"/>
        <v>44940</v>
      </c>
      <c r="C71" s="1" t="str">
        <f t="shared" si="5"/>
        <v>Saturday</v>
      </c>
      <c r="D71" s="1" t="str">
        <f t="shared" si="6"/>
        <v>January</v>
      </c>
      <c r="E71" s="1" t="str">
        <f t="shared" si="7"/>
        <v>2023</v>
      </c>
      <c r="F71" t="s">
        <v>16</v>
      </c>
      <c r="G71" s="5">
        <v>513</v>
      </c>
      <c r="H71" s="10">
        <v>18</v>
      </c>
      <c r="I71" s="2">
        <v>146.08947735729899</v>
      </c>
      <c r="J71" t="s">
        <v>12</v>
      </c>
    </row>
    <row r="72" spans="1:10" x14ac:dyDescent="0.25">
      <c r="A72" t="s">
        <v>29</v>
      </c>
      <c r="B72" s="1">
        <f t="shared" si="4"/>
        <v>44941</v>
      </c>
      <c r="C72" s="1" t="str">
        <f t="shared" si="5"/>
        <v>Sunday</v>
      </c>
      <c r="D72" s="1" t="str">
        <f t="shared" si="6"/>
        <v>January</v>
      </c>
      <c r="E72" s="1" t="str">
        <f t="shared" si="7"/>
        <v>2023</v>
      </c>
      <c r="F72" t="s">
        <v>7</v>
      </c>
      <c r="G72" s="5">
        <v>68.297337876719993</v>
      </c>
      <c r="H72" s="10">
        <v>10</v>
      </c>
      <c r="I72" s="2">
        <v>220.93844629734701</v>
      </c>
      <c r="J72" t="s">
        <v>8</v>
      </c>
    </row>
    <row r="73" spans="1:10" x14ac:dyDescent="0.25">
      <c r="A73" t="s">
        <v>29</v>
      </c>
      <c r="B73" s="1">
        <f t="shared" si="4"/>
        <v>44941</v>
      </c>
      <c r="C73" s="1" t="str">
        <f t="shared" si="5"/>
        <v>Sunday</v>
      </c>
      <c r="D73" s="1" t="str">
        <f t="shared" si="6"/>
        <v>January</v>
      </c>
      <c r="E73" s="1" t="str">
        <f t="shared" si="7"/>
        <v>2023</v>
      </c>
      <c r="F73" t="s">
        <v>9</v>
      </c>
      <c r="G73" s="5">
        <v>774.77144779698006</v>
      </c>
      <c r="H73" s="10">
        <v>8</v>
      </c>
      <c r="I73" s="2">
        <v>239.48551299443901</v>
      </c>
      <c r="J73" t="s">
        <v>10</v>
      </c>
    </row>
    <row r="74" spans="1:10" x14ac:dyDescent="0.25">
      <c r="A74" t="s">
        <v>29</v>
      </c>
      <c r="B74" s="1">
        <f t="shared" si="4"/>
        <v>44941</v>
      </c>
      <c r="C74" s="1" t="str">
        <f t="shared" si="5"/>
        <v>Sunday</v>
      </c>
      <c r="D74" s="1" t="str">
        <f t="shared" si="6"/>
        <v>January</v>
      </c>
      <c r="E74" s="1" t="str">
        <f t="shared" si="7"/>
        <v>2023</v>
      </c>
      <c r="F74" t="s">
        <v>11</v>
      </c>
      <c r="G74" s="5">
        <v>1135</v>
      </c>
      <c r="H74" s="10">
        <v>10</v>
      </c>
      <c r="I74" s="2">
        <v>389.06423499280902</v>
      </c>
      <c r="J74" t="s">
        <v>10</v>
      </c>
    </row>
    <row r="75" spans="1:10" x14ac:dyDescent="0.25">
      <c r="A75" t="s">
        <v>29</v>
      </c>
      <c r="B75" s="1">
        <f t="shared" si="4"/>
        <v>44941</v>
      </c>
      <c r="C75" s="1" t="str">
        <f t="shared" si="5"/>
        <v>Sunday</v>
      </c>
      <c r="D75" s="1" t="str">
        <f t="shared" si="6"/>
        <v>January</v>
      </c>
      <c r="E75" s="1" t="str">
        <f t="shared" si="7"/>
        <v>2023</v>
      </c>
      <c r="F75" t="s">
        <v>13</v>
      </c>
      <c r="G75" s="5">
        <v>1533.6773316578001</v>
      </c>
      <c r="H75" s="10">
        <v>10</v>
      </c>
      <c r="I75" s="2">
        <v>552.31047087947104</v>
      </c>
      <c r="J75" t="s">
        <v>8</v>
      </c>
    </row>
    <row r="76" spans="1:10" x14ac:dyDescent="0.25">
      <c r="A76" t="s">
        <v>29</v>
      </c>
      <c r="B76" s="1">
        <f t="shared" si="4"/>
        <v>44941</v>
      </c>
      <c r="C76" s="1" t="str">
        <f t="shared" si="5"/>
        <v>Sunday</v>
      </c>
      <c r="D76" s="1" t="str">
        <f t="shared" si="6"/>
        <v>January</v>
      </c>
      <c r="E76" s="1" t="str">
        <f t="shared" si="7"/>
        <v>2023</v>
      </c>
      <c r="F76" t="s">
        <v>16</v>
      </c>
      <c r="G76" s="5">
        <v>645.23135636740005</v>
      </c>
      <c r="H76" s="10">
        <v>8</v>
      </c>
      <c r="I76" s="2">
        <v>200.33689994039</v>
      </c>
      <c r="J76" t="s">
        <v>14</v>
      </c>
    </row>
    <row r="77" spans="1:10" x14ac:dyDescent="0.25">
      <c r="A77" t="s">
        <v>30</v>
      </c>
      <c r="B77" s="1">
        <f t="shared" si="4"/>
        <v>44942</v>
      </c>
      <c r="C77" s="1" t="str">
        <f t="shared" si="5"/>
        <v>Monday</v>
      </c>
      <c r="D77" s="1" t="str">
        <f t="shared" si="6"/>
        <v>January</v>
      </c>
      <c r="E77" s="1" t="str">
        <f t="shared" si="7"/>
        <v>2023</v>
      </c>
      <c r="F77" t="s">
        <v>7</v>
      </c>
      <c r="G77" s="5">
        <v>1148.4986962574999</v>
      </c>
      <c r="H77" s="10">
        <v>14</v>
      </c>
      <c r="I77" s="2">
        <v>421.50086204765802</v>
      </c>
      <c r="J77" t="s">
        <v>10</v>
      </c>
    </row>
    <row r="78" spans="1:10" x14ac:dyDescent="0.25">
      <c r="A78" t="s">
        <v>30</v>
      </c>
      <c r="B78" s="1">
        <f t="shared" si="4"/>
        <v>44942</v>
      </c>
      <c r="C78" s="1" t="str">
        <f t="shared" si="5"/>
        <v>Monday</v>
      </c>
      <c r="D78" s="1" t="str">
        <f t="shared" si="6"/>
        <v>January</v>
      </c>
      <c r="E78" s="1" t="str">
        <f t="shared" si="7"/>
        <v>2023</v>
      </c>
      <c r="F78" t="s">
        <v>9</v>
      </c>
      <c r="G78" s="5">
        <v>12.5537533114</v>
      </c>
      <c r="H78" s="10">
        <v>19</v>
      </c>
      <c r="I78" s="2">
        <v>244.59412160742599</v>
      </c>
      <c r="J78" t="s">
        <v>10</v>
      </c>
    </row>
    <row r="79" spans="1:10" x14ac:dyDescent="0.25">
      <c r="A79" t="s">
        <v>30</v>
      </c>
      <c r="B79" s="1">
        <f t="shared" si="4"/>
        <v>44942</v>
      </c>
      <c r="C79" s="1" t="str">
        <f t="shared" si="5"/>
        <v>Monday</v>
      </c>
      <c r="D79" s="1" t="str">
        <f t="shared" si="6"/>
        <v>January</v>
      </c>
      <c r="E79" s="1" t="str">
        <f t="shared" si="7"/>
        <v>2023</v>
      </c>
      <c r="F79" t="s">
        <v>11</v>
      </c>
      <c r="G79" s="5">
        <v>877.17735828532</v>
      </c>
      <c r="H79" s="10">
        <v>17</v>
      </c>
      <c r="I79" s="2">
        <v>97.546030662437204</v>
      </c>
      <c r="J79" t="s">
        <v>12</v>
      </c>
    </row>
    <row r="80" spans="1:10" x14ac:dyDescent="0.25">
      <c r="A80" t="s">
        <v>30</v>
      </c>
      <c r="B80" s="1">
        <f t="shared" si="4"/>
        <v>44942</v>
      </c>
      <c r="C80" s="1" t="str">
        <f t="shared" si="5"/>
        <v>Monday</v>
      </c>
      <c r="D80" s="1" t="str">
        <f t="shared" si="6"/>
        <v>January</v>
      </c>
      <c r="E80" s="1" t="str">
        <f t="shared" si="7"/>
        <v>2023</v>
      </c>
      <c r="F80" t="s">
        <v>13</v>
      </c>
      <c r="G80" s="5">
        <v>116.32587553589001</v>
      </c>
      <c r="H80" s="10">
        <v>5</v>
      </c>
      <c r="I80" s="2">
        <v>283.96395710000002</v>
      </c>
      <c r="J80" t="s">
        <v>8</v>
      </c>
    </row>
    <row r="81" spans="1:10" x14ac:dyDescent="0.25">
      <c r="A81" t="s">
        <v>30</v>
      </c>
      <c r="B81" s="1">
        <f t="shared" si="4"/>
        <v>44942</v>
      </c>
      <c r="C81" s="1" t="str">
        <f t="shared" si="5"/>
        <v>Monday</v>
      </c>
      <c r="D81" s="1" t="str">
        <f t="shared" si="6"/>
        <v>January</v>
      </c>
      <c r="E81" s="1" t="str">
        <f t="shared" si="7"/>
        <v>2023</v>
      </c>
      <c r="F81" t="s">
        <v>16</v>
      </c>
      <c r="G81" s="5">
        <v>435.96223464232997</v>
      </c>
      <c r="H81" s="10">
        <v>12</v>
      </c>
      <c r="I81" s="2">
        <v>169.81840636969699</v>
      </c>
      <c r="J81" t="s">
        <v>10</v>
      </c>
    </row>
    <row r="82" spans="1:10" x14ac:dyDescent="0.25">
      <c r="A82" t="s">
        <v>31</v>
      </c>
      <c r="B82" s="1">
        <f t="shared" si="4"/>
        <v>44943</v>
      </c>
      <c r="C82" s="1" t="str">
        <f t="shared" si="5"/>
        <v>Tuesday</v>
      </c>
      <c r="D82" s="1" t="str">
        <f t="shared" si="6"/>
        <v>January</v>
      </c>
      <c r="E82" s="1" t="str">
        <f t="shared" si="7"/>
        <v>2023</v>
      </c>
      <c r="F82" t="s">
        <v>7</v>
      </c>
      <c r="G82" s="5">
        <v>1716.7178721773</v>
      </c>
      <c r="H82" s="10">
        <v>8</v>
      </c>
      <c r="I82" s="2">
        <v>545.61772625387596</v>
      </c>
      <c r="J82" t="s">
        <v>380</v>
      </c>
    </row>
    <row r="83" spans="1:10" x14ac:dyDescent="0.25">
      <c r="A83" t="s">
        <v>31</v>
      </c>
      <c r="B83" s="1">
        <f t="shared" si="4"/>
        <v>44943</v>
      </c>
      <c r="C83" s="1" t="str">
        <f t="shared" si="5"/>
        <v>Tuesday</v>
      </c>
      <c r="D83" s="1" t="str">
        <f t="shared" si="6"/>
        <v>January</v>
      </c>
      <c r="E83" s="1" t="str">
        <f t="shared" si="7"/>
        <v>2023</v>
      </c>
      <c r="F83" t="s">
        <v>9</v>
      </c>
      <c r="G83" s="5">
        <v>1553</v>
      </c>
      <c r="H83" s="10">
        <v>18</v>
      </c>
      <c r="I83" s="2">
        <v>395.85048213354401</v>
      </c>
      <c r="J83" t="s">
        <v>12</v>
      </c>
    </row>
    <row r="84" spans="1:10" x14ac:dyDescent="0.25">
      <c r="A84" t="s">
        <v>31</v>
      </c>
      <c r="B84" s="1">
        <f t="shared" si="4"/>
        <v>44943</v>
      </c>
      <c r="C84" s="1" t="str">
        <f t="shared" si="5"/>
        <v>Tuesday</v>
      </c>
      <c r="D84" s="1" t="str">
        <f t="shared" si="6"/>
        <v>January</v>
      </c>
      <c r="E84" s="1" t="str">
        <f t="shared" si="7"/>
        <v>2023</v>
      </c>
      <c r="F84" t="s">
        <v>11</v>
      </c>
      <c r="G84" s="5">
        <v>967.84165745166194</v>
      </c>
      <c r="H84" s="10">
        <v>19</v>
      </c>
      <c r="I84" s="2">
        <v>224.24061396206201</v>
      </c>
      <c r="J84" t="s">
        <v>10</v>
      </c>
    </row>
    <row r="85" spans="1:10" x14ac:dyDescent="0.25">
      <c r="A85" t="s">
        <v>31</v>
      </c>
      <c r="B85" s="1">
        <f t="shared" si="4"/>
        <v>44943</v>
      </c>
      <c r="C85" s="1" t="str">
        <f t="shared" si="5"/>
        <v>Tuesday</v>
      </c>
      <c r="D85" s="1" t="str">
        <f t="shared" si="6"/>
        <v>January</v>
      </c>
      <c r="E85" s="1" t="str">
        <f t="shared" si="7"/>
        <v>2023</v>
      </c>
      <c r="F85" t="s">
        <v>13</v>
      </c>
      <c r="G85" s="5">
        <v>854.13481427462</v>
      </c>
      <c r="H85" s="10">
        <v>5</v>
      </c>
      <c r="I85" s="2">
        <v>132.64722403425</v>
      </c>
      <c r="J85" t="s">
        <v>12</v>
      </c>
    </row>
    <row r="86" spans="1:10" x14ac:dyDescent="0.25">
      <c r="A86" t="s">
        <v>31</v>
      </c>
      <c r="B86" s="1">
        <f t="shared" si="4"/>
        <v>44943</v>
      </c>
      <c r="C86" s="1" t="str">
        <f t="shared" si="5"/>
        <v>Tuesday</v>
      </c>
      <c r="D86" s="1" t="str">
        <f t="shared" si="6"/>
        <v>January</v>
      </c>
      <c r="E86" s="1" t="str">
        <f t="shared" si="7"/>
        <v>2023</v>
      </c>
      <c r="F86" t="s">
        <v>16</v>
      </c>
      <c r="G86" s="5">
        <v>1151.49618369413</v>
      </c>
      <c r="H86" s="10">
        <v>1</v>
      </c>
      <c r="I86" s="2">
        <v>175.01394283464799</v>
      </c>
      <c r="J86" t="s">
        <v>8</v>
      </c>
    </row>
    <row r="87" spans="1:10" x14ac:dyDescent="0.25">
      <c r="A87" t="s">
        <v>32</v>
      </c>
      <c r="B87" s="1">
        <f t="shared" si="4"/>
        <v>44944</v>
      </c>
      <c r="C87" s="1" t="str">
        <f t="shared" si="5"/>
        <v>Wednesday</v>
      </c>
      <c r="D87" s="1" t="str">
        <f t="shared" si="6"/>
        <v>January</v>
      </c>
      <c r="E87" s="1" t="str">
        <f t="shared" si="7"/>
        <v>2023</v>
      </c>
      <c r="F87" t="s">
        <v>7</v>
      </c>
      <c r="G87" s="5">
        <v>1259.7265582513</v>
      </c>
      <c r="H87" s="10">
        <v>15</v>
      </c>
      <c r="I87" s="2">
        <v>220.54394327459801</v>
      </c>
      <c r="J87" t="s">
        <v>12</v>
      </c>
    </row>
    <row r="88" spans="1:10" x14ac:dyDescent="0.25">
      <c r="A88" t="s">
        <v>32</v>
      </c>
      <c r="B88" s="1">
        <f t="shared" si="4"/>
        <v>44944</v>
      </c>
      <c r="C88" s="1" t="str">
        <f t="shared" si="5"/>
        <v>Wednesday</v>
      </c>
      <c r="D88" s="1" t="str">
        <f t="shared" si="6"/>
        <v>January</v>
      </c>
      <c r="E88" s="1" t="str">
        <f t="shared" si="7"/>
        <v>2023</v>
      </c>
      <c r="F88" t="s">
        <v>9</v>
      </c>
      <c r="G88" s="5">
        <v>155.15665432285999</v>
      </c>
      <c r="H88" s="10">
        <v>7</v>
      </c>
      <c r="I88" s="2">
        <v>313.52228270000001</v>
      </c>
      <c r="J88" t="s">
        <v>8</v>
      </c>
    </row>
    <row r="89" spans="1:10" x14ac:dyDescent="0.25">
      <c r="A89" t="s">
        <v>32</v>
      </c>
      <c r="B89" s="1">
        <f t="shared" si="4"/>
        <v>44944</v>
      </c>
      <c r="C89" s="1" t="str">
        <f t="shared" si="5"/>
        <v>Wednesday</v>
      </c>
      <c r="D89" s="1" t="str">
        <f t="shared" si="6"/>
        <v>January</v>
      </c>
      <c r="E89" s="1" t="str">
        <f t="shared" si="7"/>
        <v>2023</v>
      </c>
      <c r="F89" t="s">
        <v>11</v>
      </c>
      <c r="G89" s="5">
        <v>1173.3691452964999</v>
      </c>
      <c r="H89" s="10">
        <v>3</v>
      </c>
      <c r="I89" s="2">
        <v>204.54088352302401</v>
      </c>
      <c r="J89" t="s">
        <v>380</v>
      </c>
    </row>
    <row r="90" spans="1:10" x14ac:dyDescent="0.25">
      <c r="A90" t="s">
        <v>32</v>
      </c>
      <c r="B90" s="1">
        <f t="shared" si="4"/>
        <v>44944</v>
      </c>
      <c r="C90" s="1" t="str">
        <f t="shared" si="5"/>
        <v>Wednesday</v>
      </c>
      <c r="D90" s="1" t="str">
        <f t="shared" si="6"/>
        <v>January</v>
      </c>
      <c r="E90" s="1" t="str">
        <f t="shared" si="7"/>
        <v>2023</v>
      </c>
      <c r="F90" t="s">
        <v>13</v>
      </c>
      <c r="G90" s="5">
        <v>795.99869976461696</v>
      </c>
      <c r="H90" s="10">
        <v>15</v>
      </c>
      <c r="I90" s="2">
        <v>89.325892083122795</v>
      </c>
      <c r="J90" t="s">
        <v>12</v>
      </c>
    </row>
    <row r="91" spans="1:10" x14ac:dyDescent="0.25">
      <c r="A91" t="s">
        <v>32</v>
      </c>
      <c r="B91" s="1">
        <f t="shared" si="4"/>
        <v>44944</v>
      </c>
      <c r="C91" s="1" t="str">
        <f t="shared" si="5"/>
        <v>Wednesday</v>
      </c>
      <c r="D91" s="1" t="str">
        <f t="shared" si="6"/>
        <v>January</v>
      </c>
      <c r="E91" s="1" t="str">
        <f t="shared" si="7"/>
        <v>2023</v>
      </c>
      <c r="F91" t="s">
        <v>16</v>
      </c>
      <c r="G91" s="5">
        <v>92.978246539818002</v>
      </c>
      <c r="H91" s="10">
        <v>5</v>
      </c>
      <c r="I91" s="2">
        <v>223.108959154356</v>
      </c>
      <c r="J91" t="s">
        <v>12</v>
      </c>
    </row>
    <row r="92" spans="1:10" x14ac:dyDescent="0.25">
      <c r="A92" t="s">
        <v>33</v>
      </c>
      <c r="B92" s="1">
        <f t="shared" si="4"/>
        <v>44945</v>
      </c>
      <c r="C92" s="1" t="str">
        <f t="shared" si="5"/>
        <v>Thursday</v>
      </c>
      <c r="D92" s="1" t="str">
        <f t="shared" si="6"/>
        <v>January</v>
      </c>
      <c r="E92" s="1" t="str">
        <f t="shared" si="7"/>
        <v>2023</v>
      </c>
      <c r="F92" t="s">
        <v>7</v>
      </c>
      <c r="G92" s="5">
        <v>129.72771455799</v>
      </c>
      <c r="H92" s="10">
        <v>4</v>
      </c>
      <c r="I92" s="2">
        <v>183.830902128823</v>
      </c>
      <c r="J92" t="s">
        <v>12</v>
      </c>
    </row>
    <row r="93" spans="1:10" x14ac:dyDescent="0.25">
      <c r="A93" t="s">
        <v>33</v>
      </c>
      <c r="B93" s="1">
        <f t="shared" si="4"/>
        <v>44945</v>
      </c>
      <c r="C93" s="1" t="str">
        <f t="shared" si="5"/>
        <v>Thursday</v>
      </c>
      <c r="D93" s="1" t="str">
        <f t="shared" si="6"/>
        <v>January</v>
      </c>
      <c r="E93" s="1" t="str">
        <f t="shared" si="7"/>
        <v>2023</v>
      </c>
      <c r="F93" t="s">
        <v>9</v>
      </c>
      <c r="G93" s="5">
        <v>1179.9689911329999</v>
      </c>
      <c r="H93" s="10">
        <v>5</v>
      </c>
      <c r="I93" s="2">
        <v>259.06386771200101</v>
      </c>
      <c r="J93" t="s">
        <v>12</v>
      </c>
    </row>
    <row r="94" spans="1:10" x14ac:dyDescent="0.25">
      <c r="A94" t="s">
        <v>33</v>
      </c>
      <c r="B94" s="1">
        <f t="shared" si="4"/>
        <v>44945</v>
      </c>
      <c r="C94" s="1" t="str">
        <f t="shared" si="5"/>
        <v>Thursday</v>
      </c>
      <c r="D94" s="1" t="str">
        <f t="shared" si="6"/>
        <v>January</v>
      </c>
      <c r="E94" s="1" t="str">
        <f t="shared" si="7"/>
        <v>2023</v>
      </c>
      <c r="F94" t="s">
        <v>11</v>
      </c>
      <c r="G94" s="5">
        <v>1.544833584</v>
      </c>
      <c r="H94" s="10">
        <v>5</v>
      </c>
      <c r="I94" s="2">
        <v>305.355179146686</v>
      </c>
      <c r="J94" t="s">
        <v>14</v>
      </c>
    </row>
    <row r="95" spans="1:10" x14ac:dyDescent="0.25">
      <c r="A95" t="s">
        <v>33</v>
      </c>
      <c r="B95" s="1">
        <f t="shared" si="4"/>
        <v>44945</v>
      </c>
      <c r="C95" s="1" t="str">
        <f t="shared" si="5"/>
        <v>Thursday</v>
      </c>
      <c r="D95" s="1" t="str">
        <f t="shared" si="6"/>
        <v>January</v>
      </c>
      <c r="E95" s="1" t="str">
        <f t="shared" si="7"/>
        <v>2023</v>
      </c>
      <c r="F95" t="s">
        <v>13</v>
      </c>
      <c r="G95" s="5">
        <v>1226.7858453749</v>
      </c>
      <c r="H95" s="10">
        <v>16</v>
      </c>
      <c r="I95" s="2">
        <v>359.11030774457902</v>
      </c>
      <c r="J95" t="s">
        <v>8</v>
      </c>
    </row>
    <row r="96" spans="1:10" x14ac:dyDescent="0.25">
      <c r="A96" t="s">
        <v>33</v>
      </c>
      <c r="B96" s="1">
        <f t="shared" si="4"/>
        <v>44945</v>
      </c>
      <c r="C96" s="1" t="str">
        <f t="shared" si="5"/>
        <v>Thursday</v>
      </c>
      <c r="D96" s="1" t="str">
        <f t="shared" si="6"/>
        <v>January</v>
      </c>
      <c r="E96" s="1" t="str">
        <f t="shared" si="7"/>
        <v>2023</v>
      </c>
      <c r="F96" t="s">
        <v>16</v>
      </c>
      <c r="G96" s="5">
        <v>113.22439426</v>
      </c>
      <c r="H96" s="10">
        <v>12</v>
      </c>
      <c r="I96" s="2">
        <v>238.793142909887</v>
      </c>
      <c r="J96" t="s">
        <v>14</v>
      </c>
    </row>
    <row r="97" spans="1:10" x14ac:dyDescent="0.25">
      <c r="A97" t="s">
        <v>34</v>
      </c>
      <c r="B97" s="1">
        <f t="shared" si="4"/>
        <v>44946</v>
      </c>
      <c r="C97" s="1" t="str">
        <f t="shared" si="5"/>
        <v>Friday</v>
      </c>
      <c r="D97" s="1" t="str">
        <f t="shared" si="6"/>
        <v>January</v>
      </c>
      <c r="E97" s="1" t="str">
        <f t="shared" si="7"/>
        <v>2023</v>
      </c>
      <c r="F97" t="s">
        <v>7</v>
      </c>
      <c r="G97" s="5">
        <v>1277.86976286551</v>
      </c>
      <c r="H97" s="10">
        <v>1</v>
      </c>
      <c r="I97" s="2">
        <v>303.46323003799898</v>
      </c>
      <c r="J97" t="s">
        <v>10</v>
      </c>
    </row>
    <row r="98" spans="1:10" x14ac:dyDescent="0.25">
      <c r="A98" t="s">
        <v>34</v>
      </c>
      <c r="B98" s="1">
        <f t="shared" si="4"/>
        <v>44946</v>
      </c>
      <c r="C98" s="1" t="str">
        <f t="shared" si="5"/>
        <v>Friday</v>
      </c>
      <c r="D98" s="1" t="str">
        <f t="shared" si="6"/>
        <v>January</v>
      </c>
      <c r="E98" s="1" t="str">
        <f t="shared" si="7"/>
        <v>2023</v>
      </c>
      <c r="F98" t="s">
        <v>9</v>
      </c>
      <c r="G98" s="5">
        <v>1133.88684457</v>
      </c>
      <c r="H98" s="10">
        <v>1</v>
      </c>
      <c r="I98" s="2">
        <v>440.35306949034299</v>
      </c>
      <c r="J98" t="s">
        <v>12</v>
      </c>
    </row>
    <row r="99" spans="1:10" x14ac:dyDescent="0.25">
      <c r="A99" t="s">
        <v>34</v>
      </c>
      <c r="B99" s="1">
        <f t="shared" si="4"/>
        <v>44946</v>
      </c>
      <c r="C99" s="1" t="str">
        <f t="shared" si="5"/>
        <v>Friday</v>
      </c>
      <c r="D99" s="1" t="str">
        <f t="shared" si="6"/>
        <v>January</v>
      </c>
      <c r="E99" s="1" t="str">
        <f t="shared" si="7"/>
        <v>2023</v>
      </c>
      <c r="F99" t="s">
        <v>11</v>
      </c>
      <c r="G99" s="5">
        <v>134.87269513576999</v>
      </c>
      <c r="H99" s="10">
        <v>11</v>
      </c>
      <c r="I99" s="2">
        <v>212.84656549016199</v>
      </c>
      <c r="J99" t="s">
        <v>8</v>
      </c>
    </row>
    <row r="100" spans="1:10" x14ac:dyDescent="0.25">
      <c r="A100" t="s">
        <v>34</v>
      </c>
      <c r="B100" s="1">
        <f t="shared" si="4"/>
        <v>44946</v>
      </c>
      <c r="C100" s="1" t="str">
        <f t="shared" si="5"/>
        <v>Friday</v>
      </c>
      <c r="D100" s="1" t="str">
        <f t="shared" si="6"/>
        <v>January</v>
      </c>
      <c r="E100" s="1" t="str">
        <f t="shared" si="7"/>
        <v>2023</v>
      </c>
      <c r="F100" t="s">
        <v>13</v>
      </c>
      <c r="G100" s="5">
        <v>836.48871539587196</v>
      </c>
      <c r="H100" s="10">
        <v>19</v>
      </c>
      <c r="I100" s="2">
        <v>238.79759078908</v>
      </c>
      <c r="J100" t="s">
        <v>10</v>
      </c>
    </row>
    <row r="101" spans="1:10" x14ac:dyDescent="0.25">
      <c r="A101" t="s">
        <v>34</v>
      </c>
      <c r="B101" s="1">
        <f t="shared" si="4"/>
        <v>44946</v>
      </c>
      <c r="C101" s="1" t="str">
        <f t="shared" si="5"/>
        <v>Friday</v>
      </c>
      <c r="D101" s="1" t="str">
        <f t="shared" si="6"/>
        <v>January</v>
      </c>
      <c r="E101" s="1" t="str">
        <f t="shared" si="7"/>
        <v>2023</v>
      </c>
      <c r="F101" t="s">
        <v>16</v>
      </c>
      <c r="G101" s="5">
        <v>619.78539546298998</v>
      </c>
      <c r="H101" s="10">
        <v>17</v>
      </c>
      <c r="I101" s="2">
        <v>183.90070791842001</v>
      </c>
      <c r="J101" t="s">
        <v>8</v>
      </c>
    </row>
    <row r="102" spans="1:10" x14ac:dyDescent="0.25">
      <c r="A102" t="s">
        <v>35</v>
      </c>
      <c r="B102" s="1">
        <f t="shared" si="4"/>
        <v>44947</v>
      </c>
      <c r="C102" s="1" t="str">
        <f t="shared" si="5"/>
        <v>Saturday</v>
      </c>
      <c r="D102" s="1" t="str">
        <f t="shared" si="6"/>
        <v>January</v>
      </c>
      <c r="E102" s="1" t="str">
        <f t="shared" si="7"/>
        <v>2023</v>
      </c>
      <c r="F102" t="s">
        <v>7</v>
      </c>
      <c r="G102" s="5">
        <v>823.19572916736001</v>
      </c>
      <c r="H102" s="10">
        <v>4</v>
      </c>
      <c r="I102" s="2">
        <v>253.43330069370299</v>
      </c>
      <c r="J102" t="s">
        <v>12</v>
      </c>
    </row>
    <row r="103" spans="1:10" x14ac:dyDescent="0.25">
      <c r="A103" t="s">
        <v>35</v>
      </c>
      <c r="B103" s="1">
        <f t="shared" si="4"/>
        <v>44947</v>
      </c>
      <c r="C103" s="1" t="str">
        <f t="shared" si="5"/>
        <v>Saturday</v>
      </c>
      <c r="D103" s="1" t="str">
        <f t="shared" si="6"/>
        <v>January</v>
      </c>
      <c r="E103" s="1" t="str">
        <f t="shared" si="7"/>
        <v>2023</v>
      </c>
      <c r="F103" t="s">
        <v>9</v>
      </c>
      <c r="G103" s="5">
        <v>1254.88629163</v>
      </c>
      <c r="H103" s="10">
        <v>13</v>
      </c>
      <c r="I103" s="2">
        <v>478.102549526215</v>
      </c>
      <c r="J103" t="s">
        <v>14</v>
      </c>
    </row>
    <row r="104" spans="1:10" x14ac:dyDescent="0.25">
      <c r="A104" t="s">
        <v>35</v>
      </c>
      <c r="B104" s="1">
        <f t="shared" si="4"/>
        <v>44947</v>
      </c>
      <c r="C104" s="1" t="str">
        <f t="shared" si="5"/>
        <v>Saturday</v>
      </c>
      <c r="D104" s="1" t="str">
        <f t="shared" si="6"/>
        <v>January</v>
      </c>
      <c r="E104" s="1" t="str">
        <f t="shared" si="7"/>
        <v>2023</v>
      </c>
      <c r="F104" t="s">
        <v>11</v>
      </c>
      <c r="G104" s="5">
        <v>781.46151349589695</v>
      </c>
      <c r="H104" s="10">
        <v>4</v>
      </c>
      <c r="I104" s="2">
        <v>190.5987762</v>
      </c>
      <c r="J104" t="s">
        <v>8</v>
      </c>
    </row>
    <row r="105" spans="1:10" x14ac:dyDescent="0.25">
      <c r="A105" t="s">
        <v>35</v>
      </c>
      <c r="B105" s="1">
        <f t="shared" si="4"/>
        <v>44947</v>
      </c>
      <c r="C105" s="1" t="str">
        <f t="shared" si="5"/>
        <v>Saturday</v>
      </c>
      <c r="D105" s="1" t="str">
        <f t="shared" si="6"/>
        <v>January</v>
      </c>
      <c r="E105" s="1" t="str">
        <f t="shared" si="7"/>
        <v>2023</v>
      </c>
      <c r="F105" t="s">
        <v>13</v>
      </c>
      <c r="G105" s="5">
        <v>1188.8886525778</v>
      </c>
      <c r="H105" s="10">
        <v>3</v>
      </c>
      <c r="I105" s="2">
        <v>472.16896235086398</v>
      </c>
      <c r="J105" t="s">
        <v>14</v>
      </c>
    </row>
    <row r="106" spans="1:10" x14ac:dyDescent="0.25">
      <c r="A106" t="s">
        <v>35</v>
      </c>
      <c r="B106" s="1">
        <f t="shared" si="4"/>
        <v>44947</v>
      </c>
      <c r="C106" s="1" t="str">
        <f t="shared" si="5"/>
        <v>Saturday</v>
      </c>
      <c r="D106" s="1" t="str">
        <f t="shared" si="6"/>
        <v>January</v>
      </c>
      <c r="E106" s="1" t="str">
        <f t="shared" si="7"/>
        <v>2023</v>
      </c>
      <c r="F106" t="s">
        <v>16</v>
      </c>
      <c r="G106" s="5">
        <v>89</v>
      </c>
      <c r="H106" s="10">
        <v>5</v>
      </c>
      <c r="I106" s="2">
        <v>152.64894039999999</v>
      </c>
      <c r="J106" t="s">
        <v>10</v>
      </c>
    </row>
    <row r="107" spans="1:10" x14ac:dyDescent="0.25">
      <c r="A107" t="s">
        <v>36</v>
      </c>
      <c r="B107" s="1">
        <f t="shared" si="4"/>
        <v>44948</v>
      </c>
      <c r="C107" s="1" t="str">
        <f t="shared" si="5"/>
        <v>Sunday</v>
      </c>
      <c r="D107" s="1" t="str">
        <f t="shared" si="6"/>
        <v>January</v>
      </c>
      <c r="E107" s="1" t="str">
        <f t="shared" si="7"/>
        <v>2023</v>
      </c>
      <c r="F107" t="s">
        <v>7</v>
      </c>
      <c r="G107" s="5">
        <v>835.68295511221004</v>
      </c>
      <c r="H107" s="10">
        <v>13</v>
      </c>
      <c r="I107" s="2">
        <v>269.06703734444</v>
      </c>
      <c r="J107" t="s">
        <v>10</v>
      </c>
    </row>
    <row r="108" spans="1:10" x14ac:dyDescent="0.25">
      <c r="A108" t="s">
        <v>36</v>
      </c>
      <c r="B108" s="1">
        <f t="shared" si="4"/>
        <v>44948</v>
      </c>
      <c r="C108" s="1" t="str">
        <f t="shared" si="5"/>
        <v>Sunday</v>
      </c>
      <c r="D108" s="1" t="str">
        <f t="shared" si="6"/>
        <v>January</v>
      </c>
      <c r="E108" s="1" t="str">
        <f t="shared" si="7"/>
        <v>2023</v>
      </c>
      <c r="F108" t="s">
        <v>9</v>
      </c>
      <c r="G108" s="5">
        <v>1391.6436421462899</v>
      </c>
      <c r="H108" s="10">
        <v>13</v>
      </c>
      <c r="I108" s="2">
        <v>513.03912641394902</v>
      </c>
      <c r="J108" t="s">
        <v>8</v>
      </c>
    </row>
    <row r="109" spans="1:10" x14ac:dyDescent="0.25">
      <c r="A109" t="s">
        <v>36</v>
      </c>
      <c r="B109" s="1">
        <f t="shared" si="4"/>
        <v>44948</v>
      </c>
      <c r="C109" s="1" t="str">
        <f t="shared" si="5"/>
        <v>Sunday</v>
      </c>
      <c r="D109" s="1" t="str">
        <f t="shared" si="6"/>
        <v>January</v>
      </c>
      <c r="E109" s="1" t="str">
        <f t="shared" si="7"/>
        <v>2023</v>
      </c>
      <c r="F109" t="s">
        <v>11</v>
      </c>
      <c r="G109" s="5">
        <v>16.311524898199998</v>
      </c>
      <c r="H109" s="10">
        <v>4</v>
      </c>
      <c r="I109" s="2">
        <v>103.901897601454</v>
      </c>
      <c r="J109" t="s">
        <v>8</v>
      </c>
    </row>
    <row r="110" spans="1:10" x14ac:dyDescent="0.25">
      <c r="A110" t="s">
        <v>36</v>
      </c>
      <c r="B110" s="1">
        <f t="shared" si="4"/>
        <v>44948</v>
      </c>
      <c r="C110" s="1" t="str">
        <f t="shared" si="5"/>
        <v>Sunday</v>
      </c>
      <c r="D110" s="1" t="str">
        <f t="shared" si="6"/>
        <v>January</v>
      </c>
      <c r="E110" s="1" t="str">
        <f t="shared" si="7"/>
        <v>2023</v>
      </c>
      <c r="F110" t="s">
        <v>13</v>
      </c>
      <c r="G110" s="5">
        <v>876.61282282549996</v>
      </c>
      <c r="H110" s="10">
        <v>14</v>
      </c>
      <c r="I110" s="2">
        <v>265.640835171665</v>
      </c>
      <c r="J110" t="s">
        <v>14</v>
      </c>
    </row>
    <row r="111" spans="1:10" x14ac:dyDescent="0.25">
      <c r="A111" t="s">
        <v>36</v>
      </c>
      <c r="B111" s="1">
        <f t="shared" si="4"/>
        <v>44948</v>
      </c>
      <c r="C111" s="1" t="str">
        <f t="shared" si="5"/>
        <v>Sunday</v>
      </c>
      <c r="D111" s="1" t="str">
        <f t="shared" si="6"/>
        <v>January</v>
      </c>
      <c r="E111" s="1" t="str">
        <f t="shared" si="7"/>
        <v>2023</v>
      </c>
      <c r="F111" t="s">
        <v>16</v>
      </c>
      <c r="G111" s="5">
        <v>1295.276336892</v>
      </c>
      <c r="H111" s="10">
        <v>19</v>
      </c>
      <c r="I111" s="2">
        <v>321.091800647338</v>
      </c>
      <c r="J111" t="s">
        <v>14</v>
      </c>
    </row>
    <row r="112" spans="1:10" x14ac:dyDescent="0.25">
      <c r="A112" t="s">
        <v>37</v>
      </c>
      <c r="B112" s="1">
        <f t="shared" si="4"/>
        <v>44949</v>
      </c>
      <c r="C112" s="1" t="str">
        <f t="shared" si="5"/>
        <v>Monday</v>
      </c>
      <c r="D112" s="1" t="str">
        <f t="shared" si="6"/>
        <v>January</v>
      </c>
      <c r="E112" s="1" t="str">
        <f t="shared" si="7"/>
        <v>2023</v>
      </c>
      <c r="F112" t="s">
        <v>7</v>
      </c>
      <c r="G112" s="5">
        <v>462.38646995943498</v>
      </c>
      <c r="H112" s="10">
        <v>4</v>
      </c>
      <c r="I112" s="2">
        <v>177.49091336932699</v>
      </c>
      <c r="J112" t="s">
        <v>14</v>
      </c>
    </row>
    <row r="113" spans="1:10" x14ac:dyDescent="0.25">
      <c r="A113" t="s">
        <v>37</v>
      </c>
      <c r="B113" s="1">
        <f t="shared" si="4"/>
        <v>44949</v>
      </c>
      <c r="C113" s="1" t="str">
        <f t="shared" si="5"/>
        <v>Monday</v>
      </c>
      <c r="D113" s="1" t="str">
        <f t="shared" si="6"/>
        <v>January</v>
      </c>
      <c r="E113" s="1" t="str">
        <f t="shared" si="7"/>
        <v>2023</v>
      </c>
      <c r="F113" t="s">
        <v>9</v>
      </c>
      <c r="G113" s="5">
        <v>865.96794646326998</v>
      </c>
      <c r="H113" s="10">
        <v>7</v>
      </c>
      <c r="I113" s="2">
        <v>110.291263174893</v>
      </c>
      <c r="J113" t="s">
        <v>12</v>
      </c>
    </row>
    <row r="114" spans="1:10" x14ac:dyDescent="0.25">
      <c r="A114" t="s">
        <v>37</v>
      </c>
      <c r="B114" s="1">
        <f t="shared" si="4"/>
        <v>44949</v>
      </c>
      <c r="C114" s="1" t="str">
        <f t="shared" si="5"/>
        <v>Monday</v>
      </c>
      <c r="D114" s="1" t="str">
        <f t="shared" si="6"/>
        <v>January</v>
      </c>
      <c r="E114" s="1" t="str">
        <f t="shared" si="7"/>
        <v>2023</v>
      </c>
      <c r="F114" t="s">
        <v>11</v>
      </c>
      <c r="G114" s="5">
        <v>1544.9997276367001</v>
      </c>
      <c r="H114" s="10">
        <v>15</v>
      </c>
      <c r="I114" s="2">
        <v>220.64803298533101</v>
      </c>
      <c r="J114" t="s">
        <v>12</v>
      </c>
    </row>
    <row r="115" spans="1:10" x14ac:dyDescent="0.25">
      <c r="A115" t="s">
        <v>37</v>
      </c>
      <c r="B115" s="1">
        <f t="shared" si="4"/>
        <v>44949</v>
      </c>
      <c r="C115" s="1" t="str">
        <f t="shared" si="5"/>
        <v>Monday</v>
      </c>
      <c r="D115" s="1" t="str">
        <f t="shared" si="6"/>
        <v>January</v>
      </c>
      <c r="E115" s="1" t="str">
        <f t="shared" si="7"/>
        <v>2023</v>
      </c>
      <c r="F115" t="s">
        <v>13</v>
      </c>
      <c r="G115" s="5">
        <v>1121.37486853525</v>
      </c>
      <c r="H115" s="10">
        <v>12</v>
      </c>
      <c r="I115" s="2">
        <v>403.76292099010698</v>
      </c>
      <c r="J115" t="s">
        <v>380</v>
      </c>
    </row>
    <row r="116" spans="1:10" x14ac:dyDescent="0.25">
      <c r="A116" t="s">
        <v>37</v>
      </c>
      <c r="B116" s="1">
        <f t="shared" si="4"/>
        <v>44949</v>
      </c>
      <c r="C116" s="1" t="str">
        <f t="shared" si="5"/>
        <v>Monday</v>
      </c>
      <c r="D116" s="1" t="str">
        <f t="shared" si="6"/>
        <v>January</v>
      </c>
      <c r="E116" s="1" t="str">
        <f t="shared" si="7"/>
        <v>2023</v>
      </c>
      <c r="F116" t="s">
        <v>16</v>
      </c>
      <c r="G116" s="5">
        <v>173.48997133261</v>
      </c>
      <c r="H116" s="10">
        <v>10</v>
      </c>
      <c r="I116" s="2">
        <v>235.089452176533</v>
      </c>
      <c r="J116" t="s">
        <v>10</v>
      </c>
    </row>
    <row r="117" spans="1:10" x14ac:dyDescent="0.25">
      <c r="A117" t="s">
        <v>38</v>
      </c>
      <c r="B117" s="1">
        <f t="shared" si="4"/>
        <v>44950</v>
      </c>
      <c r="C117" s="1" t="str">
        <f t="shared" si="5"/>
        <v>Tuesday</v>
      </c>
      <c r="D117" s="1" t="str">
        <f t="shared" si="6"/>
        <v>January</v>
      </c>
      <c r="E117" s="1" t="str">
        <f t="shared" si="7"/>
        <v>2023</v>
      </c>
      <c r="F117" t="s">
        <v>7</v>
      </c>
      <c r="G117" s="5">
        <v>847.91747388660997</v>
      </c>
      <c r="H117" s="10">
        <v>2</v>
      </c>
      <c r="I117" s="2">
        <v>105.48481010603</v>
      </c>
      <c r="J117" t="s">
        <v>8</v>
      </c>
    </row>
    <row r="118" spans="1:10" x14ac:dyDescent="0.25">
      <c r="A118" t="s">
        <v>38</v>
      </c>
      <c r="B118" s="1">
        <f t="shared" si="4"/>
        <v>44950</v>
      </c>
      <c r="C118" s="1" t="str">
        <f t="shared" si="5"/>
        <v>Tuesday</v>
      </c>
      <c r="D118" s="1" t="str">
        <f t="shared" si="6"/>
        <v>January</v>
      </c>
      <c r="E118" s="1" t="str">
        <f t="shared" si="7"/>
        <v>2023</v>
      </c>
      <c r="F118" t="s">
        <v>9</v>
      </c>
      <c r="G118" s="5">
        <v>1133.6527384410001</v>
      </c>
      <c r="H118" s="10">
        <v>13</v>
      </c>
      <c r="I118" s="2">
        <v>239.418978256673</v>
      </c>
      <c r="J118" t="s">
        <v>14</v>
      </c>
    </row>
    <row r="119" spans="1:10" x14ac:dyDescent="0.25">
      <c r="A119" t="s">
        <v>38</v>
      </c>
      <c r="B119" s="1">
        <f t="shared" si="4"/>
        <v>44950</v>
      </c>
      <c r="C119" s="1" t="str">
        <f t="shared" si="5"/>
        <v>Tuesday</v>
      </c>
      <c r="D119" s="1" t="str">
        <f t="shared" si="6"/>
        <v>January</v>
      </c>
      <c r="E119" s="1" t="str">
        <f t="shared" si="7"/>
        <v>2023</v>
      </c>
      <c r="F119" t="s">
        <v>11</v>
      </c>
      <c r="G119" s="5">
        <v>561.47331892830005</v>
      </c>
      <c r="H119" s="10">
        <v>17</v>
      </c>
      <c r="I119" s="2">
        <v>215.703651372075</v>
      </c>
      <c r="J119" t="s">
        <v>8</v>
      </c>
    </row>
    <row r="120" spans="1:10" x14ac:dyDescent="0.25">
      <c r="A120" t="s">
        <v>38</v>
      </c>
      <c r="B120" s="1">
        <f t="shared" si="4"/>
        <v>44950</v>
      </c>
      <c r="C120" s="1" t="str">
        <f t="shared" si="5"/>
        <v>Tuesday</v>
      </c>
      <c r="D120" s="1" t="str">
        <f t="shared" si="6"/>
        <v>January</v>
      </c>
      <c r="E120" s="1" t="str">
        <f t="shared" si="7"/>
        <v>2023</v>
      </c>
      <c r="F120" t="s">
        <v>13</v>
      </c>
      <c r="G120" s="5">
        <v>477.14425836471997</v>
      </c>
      <c r="H120" s="10">
        <v>19</v>
      </c>
      <c r="I120" s="2">
        <v>158.91452955116</v>
      </c>
      <c r="J120" t="s">
        <v>12</v>
      </c>
    </row>
    <row r="121" spans="1:10" x14ac:dyDescent="0.25">
      <c r="A121" t="s">
        <v>38</v>
      </c>
      <c r="B121" s="1">
        <f t="shared" si="4"/>
        <v>44950</v>
      </c>
      <c r="C121" s="1" t="str">
        <f t="shared" si="5"/>
        <v>Tuesday</v>
      </c>
      <c r="D121" s="1" t="str">
        <f t="shared" si="6"/>
        <v>January</v>
      </c>
      <c r="E121" s="1" t="str">
        <f t="shared" si="7"/>
        <v>2023</v>
      </c>
      <c r="F121" t="s">
        <v>16</v>
      </c>
      <c r="G121" s="5">
        <v>132.84338561225999</v>
      </c>
      <c r="H121" s="10">
        <v>7</v>
      </c>
      <c r="I121" s="2">
        <v>300.18358904472899</v>
      </c>
      <c r="J121" t="s">
        <v>12</v>
      </c>
    </row>
    <row r="122" spans="1:10" x14ac:dyDescent="0.25">
      <c r="A122" t="s">
        <v>39</v>
      </c>
      <c r="B122" s="1">
        <f t="shared" si="4"/>
        <v>44951</v>
      </c>
      <c r="C122" s="1" t="str">
        <f t="shared" si="5"/>
        <v>Wednesday</v>
      </c>
      <c r="D122" s="1" t="str">
        <f t="shared" si="6"/>
        <v>January</v>
      </c>
      <c r="E122" s="1" t="str">
        <f t="shared" si="7"/>
        <v>2023</v>
      </c>
      <c r="F122" t="s">
        <v>7</v>
      </c>
      <c r="G122" s="5">
        <v>782.69986139587002</v>
      </c>
      <c r="H122" s="10">
        <v>13</v>
      </c>
      <c r="I122" s="2">
        <v>80.935934995325994</v>
      </c>
      <c r="J122" t="s">
        <v>14</v>
      </c>
    </row>
    <row r="123" spans="1:10" x14ac:dyDescent="0.25">
      <c r="A123" t="s">
        <v>39</v>
      </c>
      <c r="B123" s="1">
        <f t="shared" si="4"/>
        <v>44951</v>
      </c>
      <c r="C123" s="1" t="str">
        <f t="shared" si="5"/>
        <v>Wednesday</v>
      </c>
      <c r="D123" s="1" t="str">
        <f t="shared" si="6"/>
        <v>January</v>
      </c>
      <c r="E123" s="1" t="str">
        <f t="shared" si="7"/>
        <v>2023</v>
      </c>
      <c r="F123" t="s">
        <v>9</v>
      </c>
      <c r="G123" s="5">
        <v>437.26648438170002</v>
      </c>
      <c r="H123" s="10">
        <v>8</v>
      </c>
      <c r="I123" s="2">
        <v>59.143724790455202</v>
      </c>
      <c r="J123" t="s">
        <v>8</v>
      </c>
    </row>
    <row r="124" spans="1:10" x14ac:dyDescent="0.25">
      <c r="A124" t="s">
        <v>39</v>
      </c>
      <c r="B124" s="1">
        <f t="shared" si="4"/>
        <v>44951</v>
      </c>
      <c r="C124" s="1" t="str">
        <f t="shared" si="5"/>
        <v>Wednesday</v>
      </c>
      <c r="D124" s="1" t="str">
        <f t="shared" si="6"/>
        <v>January</v>
      </c>
      <c r="E124" s="1" t="str">
        <f t="shared" si="7"/>
        <v>2023</v>
      </c>
      <c r="F124" t="s">
        <v>11</v>
      </c>
      <c r="G124" s="5">
        <v>1252.5134778352001</v>
      </c>
      <c r="H124" s="10">
        <v>17</v>
      </c>
      <c r="I124" s="2">
        <v>156.34039209206901</v>
      </c>
      <c r="J124" t="s">
        <v>8</v>
      </c>
    </row>
    <row r="125" spans="1:10" x14ac:dyDescent="0.25">
      <c r="A125" t="s">
        <v>39</v>
      </c>
      <c r="B125" s="1">
        <f t="shared" si="4"/>
        <v>44951</v>
      </c>
      <c r="C125" s="1" t="str">
        <f t="shared" si="5"/>
        <v>Wednesday</v>
      </c>
      <c r="D125" s="1" t="str">
        <f t="shared" si="6"/>
        <v>January</v>
      </c>
      <c r="E125" s="1" t="str">
        <f t="shared" si="7"/>
        <v>2023</v>
      </c>
      <c r="F125" t="s">
        <v>13</v>
      </c>
      <c r="G125" s="5">
        <v>134.26752719999999</v>
      </c>
      <c r="H125" s="10">
        <v>6</v>
      </c>
      <c r="I125" s="2">
        <v>309.40760638432403</v>
      </c>
      <c r="J125" t="s">
        <v>12</v>
      </c>
    </row>
    <row r="126" spans="1:10" x14ac:dyDescent="0.25">
      <c r="A126" t="s">
        <v>39</v>
      </c>
      <c r="B126" s="1">
        <f t="shared" si="4"/>
        <v>44951</v>
      </c>
      <c r="C126" s="1" t="str">
        <f t="shared" si="5"/>
        <v>Wednesday</v>
      </c>
      <c r="D126" s="1" t="str">
        <f t="shared" si="6"/>
        <v>January</v>
      </c>
      <c r="E126" s="1" t="str">
        <f t="shared" si="7"/>
        <v>2023</v>
      </c>
      <c r="F126" t="s">
        <v>16</v>
      </c>
      <c r="G126" s="5">
        <v>167.22774454312</v>
      </c>
      <c r="H126" s="10">
        <v>5</v>
      </c>
      <c r="I126" s="2">
        <v>187.72221236673499</v>
      </c>
      <c r="J126" t="s">
        <v>10</v>
      </c>
    </row>
    <row r="127" spans="1:10" x14ac:dyDescent="0.25">
      <c r="A127" t="s">
        <v>40</v>
      </c>
      <c r="B127" s="1">
        <f t="shared" si="4"/>
        <v>44952</v>
      </c>
      <c r="C127" s="1" t="str">
        <f t="shared" si="5"/>
        <v>Thursday</v>
      </c>
      <c r="D127" s="1" t="str">
        <f t="shared" si="6"/>
        <v>January</v>
      </c>
      <c r="E127" s="1" t="str">
        <f t="shared" si="7"/>
        <v>2023</v>
      </c>
      <c r="F127" t="s">
        <v>7</v>
      </c>
      <c r="G127" s="5">
        <v>13.777722345300001</v>
      </c>
      <c r="H127" s="10">
        <v>18</v>
      </c>
      <c r="I127" s="2">
        <v>150.43077621635399</v>
      </c>
      <c r="J127" t="s">
        <v>8</v>
      </c>
    </row>
    <row r="128" spans="1:10" x14ac:dyDescent="0.25">
      <c r="A128" t="s">
        <v>40</v>
      </c>
      <c r="B128" s="1">
        <f t="shared" si="4"/>
        <v>44952</v>
      </c>
      <c r="C128" s="1" t="str">
        <f t="shared" si="5"/>
        <v>Thursday</v>
      </c>
      <c r="D128" s="1" t="str">
        <f t="shared" si="6"/>
        <v>January</v>
      </c>
      <c r="E128" s="1" t="str">
        <f t="shared" si="7"/>
        <v>2023</v>
      </c>
      <c r="F128" t="s">
        <v>9</v>
      </c>
      <c r="G128" s="5">
        <v>87.417339517488003</v>
      </c>
      <c r="H128" s="10">
        <v>3</v>
      </c>
      <c r="I128" s="2">
        <v>322.35680134467998</v>
      </c>
      <c r="J128" t="s">
        <v>8</v>
      </c>
    </row>
    <row r="129" spans="1:10" x14ac:dyDescent="0.25">
      <c r="A129" t="s">
        <v>40</v>
      </c>
      <c r="B129" s="1">
        <f t="shared" si="4"/>
        <v>44952</v>
      </c>
      <c r="C129" s="1" t="str">
        <f t="shared" si="5"/>
        <v>Thursday</v>
      </c>
      <c r="D129" s="1" t="str">
        <f t="shared" si="6"/>
        <v>January</v>
      </c>
      <c r="E129" s="1" t="str">
        <f t="shared" si="7"/>
        <v>2023</v>
      </c>
      <c r="F129" t="s">
        <v>11</v>
      </c>
      <c r="G129" s="5">
        <v>1557.9911946699999</v>
      </c>
      <c r="H129" s="10">
        <v>11</v>
      </c>
      <c r="I129" s="2">
        <v>287.12037071337602</v>
      </c>
      <c r="J129" t="s">
        <v>14</v>
      </c>
    </row>
    <row r="130" spans="1:10" x14ac:dyDescent="0.25">
      <c r="A130" t="s">
        <v>40</v>
      </c>
      <c r="B130" s="1">
        <f t="shared" si="4"/>
        <v>44952</v>
      </c>
      <c r="C130" s="1" t="str">
        <f t="shared" si="5"/>
        <v>Thursday</v>
      </c>
      <c r="D130" s="1" t="str">
        <f t="shared" si="6"/>
        <v>January</v>
      </c>
      <c r="E130" s="1" t="str">
        <f t="shared" si="7"/>
        <v>2023</v>
      </c>
      <c r="F130" t="s">
        <v>13</v>
      </c>
      <c r="G130" s="5">
        <v>957</v>
      </c>
      <c r="H130" s="10">
        <v>8</v>
      </c>
      <c r="I130" s="2">
        <v>144.41736734595099</v>
      </c>
      <c r="J130" t="s">
        <v>14</v>
      </c>
    </row>
    <row r="131" spans="1:10" x14ac:dyDescent="0.25">
      <c r="A131" t="s">
        <v>40</v>
      </c>
      <c r="B131" s="1">
        <f t="shared" ref="B131:B194" si="8">DATE(VALUE(RIGHT(A131,4)),VALUE(LEFT(A131,FIND("/",A131)-1)),VALUE(MID(A131,FIND("/",A131)+1,FIND("/",A131,FIND("/",A131)+1)-FIND("/",A131)-1)))</f>
        <v>44952</v>
      </c>
      <c r="C131" s="1" t="str">
        <f t="shared" ref="C131:C194" si="9">TEXT(B131,"DDDD")</f>
        <v>Thursday</v>
      </c>
      <c r="D131" s="1" t="str">
        <f t="shared" ref="D131:D194" si="10">TEXT(B131,"MMMM")</f>
        <v>January</v>
      </c>
      <c r="E131" s="1" t="str">
        <f t="shared" ref="E131:E194" si="11">TEXT(B131,"YYYY")</f>
        <v>2023</v>
      </c>
      <c r="F131" t="s">
        <v>16</v>
      </c>
      <c r="G131" s="5">
        <v>849.22161818129996</v>
      </c>
      <c r="H131" s="10">
        <v>8</v>
      </c>
      <c r="I131" s="2">
        <v>168.88727776491001</v>
      </c>
      <c r="J131" t="s">
        <v>12</v>
      </c>
    </row>
    <row r="132" spans="1:10" x14ac:dyDescent="0.25">
      <c r="A132" t="s">
        <v>41</v>
      </c>
      <c r="B132" s="1">
        <f t="shared" si="8"/>
        <v>44953</v>
      </c>
      <c r="C132" s="1" t="str">
        <f t="shared" si="9"/>
        <v>Friday</v>
      </c>
      <c r="D132" s="1" t="str">
        <f t="shared" si="10"/>
        <v>January</v>
      </c>
      <c r="E132" s="1" t="str">
        <f t="shared" si="11"/>
        <v>2023</v>
      </c>
      <c r="F132" t="s">
        <v>7</v>
      </c>
      <c r="G132" s="5">
        <v>76.529434595400005</v>
      </c>
      <c r="H132" s="10">
        <v>4</v>
      </c>
      <c r="I132" s="2">
        <v>301.06563342491</v>
      </c>
      <c r="J132" t="s">
        <v>12</v>
      </c>
    </row>
    <row r="133" spans="1:10" x14ac:dyDescent="0.25">
      <c r="A133" t="s">
        <v>41</v>
      </c>
      <c r="B133" s="1">
        <f t="shared" si="8"/>
        <v>44953</v>
      </c>
      <c r="C133" s="1" t="str">
        <f t="shared" si="9"/>
        <v>Friday</v>
      </c>
      <c r="D133" s="1" t="str">
        <f t="shared" si="10"/>
        <v>January</v>
      </c>
      <c r="E133" s="1" t="str">
        <f t="shared" si="11"/>
        <v>2023</v>
      </c>
      <c r="F133" t="s">
        <v>9</v>
      </c>
      <c r="G133" s="5">
        <v>598.64655285748597</v>
      </c>
      <c r="H133" s="10">
        <v>17</v>
      </c>
      <c r="I133" s="2">
        <v>110.10849304035099</v>
      </c>
      <c r="J133" t="s">
        <v>8</v>
      </c>
    </row>
    <row r="134" spans="1:10" x14ac:dyDescent="0.25">
      <c r="A134" t="s">
        <v>41</v>
      </c>
      <c r="B134" s="1">
        <f t="shared" si="8"/>
        <v>44953</v>
      </c>
      <c r="C134" s="1" t="str">
        <f t="shared" si="9"/>
        <v>Friday</v>
      </c>
      <c r="D134" s="1" t="str">
        <f t="shared" si="10"/>
        <v>January</v>
      </c>
      <c r="E134" s="1" t="str">
        <f t="shared" si="11"/>
        <v>2023</v>
      </c>
      <c r="F134" t="s">
        <v>11</v>
      </c>
      <c r="G134" s="5">
        <v>1171.44253983</v>
      </c>
      <c r="H134" s="10">
        <v>13</v>
      </c>
      <c r="I134" s="2">
        <v>437.25961876341501</v>
      </c>
      <c r="J134" t="s">
        <v>8</v>
      </c>
    </row>
    <row r="135" spans="1:10" x14ac:dyDescent="0.25">
      <c r="A135" t="s">
        <v>41</v>
      </c>
      <c r="B135" s="1">
        <f t="shared" si="8"/>
        <v>44953</v>
      </c>
      <c r="C135" s="1" t="str">
        <f t="shared" si="9"/>
        <v>Friday</v>
      </c>
      <c r="D135" s="1" t="str">
        <f t="shared" si="10"/>
        <v>January</v>
      </c>
      <c r="E135" s="1" t="str">
        <f t="shared" si="11"/>
        <v>2023</v>
      </c>
      <c r="F135" t="s">
        <v>13</v>
      </c>
      <c r="G135" s="5">
        <v>746.15692945599994</v>
      </c>
      <c r="H135" s="10">
        <v>6</v>
      </c>
      <c r="I135" s="2">
        <v>497.01799819664001</v>
      </c>
      <c r="J135" t="s">
        <v>14</v>
      </c>
    </row>
    <row r="136" spans="1:10" x14ac:dyDescent="0.25">
      <c r="A136" t="s">
        <v>41</v>
      </c>
      <c r="B136" s="1">
        <f t="shared" si="8"/>
        <v>44953</v>
      </c>
      <c r="C136" s="1" t="str">
        <f t="shared" si="9"/>
        <v>Friday</v>
      </c>
      <c r="D136" s="1" t="str">
        <f t="shared" si="10"/>
        <v>January</v>
      </c>
      <c r="E136" s="1" t="str">
        <f t="shared" si="11"/>
        <v>2023</v>
      </c>
      <c r="F136" t="s">
        <v>16</v>
      </c>
      <c r="G136" s="5">
        <v>1234.82549326</v>
      </c>
      <c r="H136" s="10">
        <v>10</v>
      </c>
      <c r="I136" s="2">
        <v>468.72743830254802</v>
      </c>
      <c r="J136" t="s">
        <v>12</v>
      </c>
    </row>
    <row r="137" spans="1:10" x14ac:dyDescent="0.25">
      <c r="A137" t="s">
        <v>42</v>
      </c>
      <c r="B137" s="1">
        <f t="shared" si="8"/>
        <v>44954</v>
      </c>
      <c r="C137" s="1" t="str">
        <f t="shared" si="9"/>
        <v>Saturday</v>
      </c>
      <c r="D137" s="1" t="str">
        <f t="shared" si="10"/>
        <v>January</v>
      </c>
      <c r="E137" s="1" t="str">
        <f t="shared" si="11"/>
        <v>2023</v>
      </c>
      <c r="F137" t="s">
        <v>7</v>
      </c>
      <c r="G137" s="5">
        <v>145.32398864581</v>
      </c>
      <c r="H137" s="10">
        <v>13</v>
      </c>
      <c r="I137" s="2">
        <v>156.22396105974599</v>
      </c>
      <c r="J137" t="s">
        <v>14</v>
      </c>
    </row>
    <row r="138" spans="1:10" x14ac:dyDescent="0.25">
      <c r="A138" t="s">
        <v>42</v>
      </c>
      <c r="B138" s="1">
        <f t="shared" si="8"/>
        <v>44954</v>
      </c>
      <c r="C138" s="1" t="str">
        <f t="shared" si="9"/>
        <v>Saturday</v>
      </c>
      <c r="D138" s="1" t="str">
        <f t="shared" si="10"/>
        <v>January</v>
      </c>
      <c r="E138" s="1" t="str">
        <f t="shared" si="11"/>
        <v>2023</v>
      </c>
      <c r="F138" t="s">
        <v>9</v>
      </c>
      <c r="G138" s="5">
        <v>1353.8323621638001</v>
      </c>
      <c r="H138" s="10">
        <v>15</v>
      </c>
      <c r="I138" s="2">
        <v>196.4749654</v>
      </c>
      <c r="J138" t="s">
        <v>8</v>
      </c>
    </row>
    <row r="139" spans="1:10" x14ac:dyDescent="0.25">
      <c r="A139" t="s">
        <v>42</v>
      </c>
      <c r="B139" s="1">
        <f t="shared" si="8"/>
        <v>44954</v>
      </c>
      <c r="C139" s="1" t="str">
        <f t="shared" si="9"/>
        <v>Saturday</v>
      </c>
      <c r="D139" s="1" t="str">
        <f t="shared" si="10"/>
        <v>January</v>
      </c>
      <c r="E139" s="1" t="str">
        <f t="shared" si="11"/>
        <v>2023</v>
      </c>
      <c r="F139" t="s">
        <v>11</v>
      </c>
      <c r="G139" s="5">
        <v>859.24734368587997</v>
      </c>
      <c r="H139" s="10">
        <v>17</v>
      </c>
      <c r="I139" s="2">
        <v>302.024234346215</v>
      </c>
      <c r="J139" t="s">
        <v>12</v>
      </c>
    </row>
    <row r="140" spans="1:10" x14ac:dyDescent="0.25">
      <c r="A140" t="s">
        <v>42</v>
      </c>
      <c r="B140" s="1">
        <f t="shared" si="8"/>
        <v>44954</v>
      </c>
      <c r="C140" s="1" t="str">
        <f t="shared" si="9"/>
        <v>Saturday</v>
      </c>
      <c r="D140" s="1" t="str">
        <f t="shared" si="10"/>
        <v>January</v>
      </c>
      <c r="E140" s="1" t="str">
        <f t="shared" si="11"/>
        <v>2023</v>
      </c>
      <c r="F140" t="s">
        <v>13</v>
      </c>
      <c r="G140" s="5">
        <v>746.15692945599994</v>
      </c>
      <c r="H140" s="10">
        <v>5</v>
      </c>
      <c r="I140" s="2">
        <v>439.98222482613397</v>
      </c>
      <c r="J140" t="s">
        <v>380</v>
      </c>
    </row>
    <row r="141" spans="1:10" x14ac:dyDescent="0.25">
      <c r="A141" t="s">
        <v>42</v>
      </c>
      <c r="B141" s="1">
        <f t="shared" si="8"/>
        <v>44954</v>
      </c>
      <c r="C141" s="1" t="str">
        <f t="shared" si="9"/>
        <v>Saturday</v>
      </c>
      <c r="D141" s="1" t="str">
        <f t="shared" si="10"/>
        <v>January</v>
      </c>
      <c r="E141" s="1" t="str">
        <f t="shared" si="11"/>
        <v>2023</v>
      </c>
      <c r="F141" t="s">
        <v>16</v>
      </c>
      <c r="G141" s="5">
        <v>1573.4588819528201</v>
      </c>
      <c r="H141" s="10">
        <v>5</v>
      </c>
      <c r="I141" s="2">
        <v>500.10227563806302</v>
      </c>
      <c r="J141" t="s">
        <v>12</v>
      </c>
    </row>
    <row r="142" spans="1:10" x14ac:dyDescent="0.25">
      <c r="A142" t="s">
        <v>43</v>
      </c>
      <c r="B142" s="1">
        <f t="shared" si="8"/>
        <v>44955</v>
      </c>
      <c r="C142" s="1" t="str">
        <f t="shared" si="9"/>
        <v>Sunday</v>
      </c>
      <c r="D142" s="1" t="str">
        <f t="shared" si="10"/>
        <v>January</v>
      </c>
      <c r="E142" s="1" t="str">
        <f t="shared" si="11"/>
        <v>2023</v>
      </c>
      <c r="F142" t="s">
        <v>7</v>
      </c>
      <c r="G142" s="5">
        <v>865</v>
      </c>
      <c r="H142" s="10">
        <v>14</v>
      </c>
      <c r="I142" s="2">
        <v>139.70609038717799</v>
      </c>
      <c r="J142" t="s">
        <v>8</v>
      </c>
    </row>
    <row r="143" spans="1:10" x14ac:dyDescent="0.25">
      <c r="A143" t="s">
        <v>43</v>
      </c>
      <c r="B143" s="1">
        <f t="shared" si="8"/>
        <v>44955</v>
      </c>
      <c r="C143" s="1" t="str">
        <f t="shared" si="9"/>
        <v>Sunday</v>
      </c>
      <c r="D143" s="1" t="str">
        <f t="shared" si="10"/>
        <v>January</v>
      </c>
      <c r="E143" s="1" t="str">
        <f t="shared" si="11"/>
        <v>2023</v>
      </c>
      <c r="F143" t="s">
        <v>9</v>
      </c>
      <c r="G143" s="5">
        <v>1186.8549797424</v>
      </c>
      <c r="H143" s="10">
        <v>19</v>
      </c>
      <c r="I143" s="2">
        <v>216.50553838541401</v>
      </c>
      <c r="J143" t="s">
        <v>14</v>
      </c>
    </row>
    <row r="144" spans="1:10" x14ac:dyDescent="0.25">
      <c r="A144" t="s">
        <v>43</v>
      </c>
      <c r="B144" s="1">
        <f t="shared" si="8"/>
        <v>44955</v>
      </c>
      <c r="C144" s="1" t="str">
        <f t="shared" si="9"/>
        <v>Sunday</v>
      </c>
      <c r="D144" s="1" t="str">
        <f t="shared" si="10"/>
        <v>January</v>
      </c>
      <c r="E144" s="1" t="str">
        <f t="shared" si="11"/>
        <v>2023</v>
      </c>
      <c r="F144" t="s">
        <v>11</v>
      </c>
      <c r="G144" s="5">
        <v>1213.4844634266601</v>
      </c>
      <c r="H144" s="10">
        <v>2</v>
      </c>
      <c r="I144" s="2">
        <v>251.735914456122</v>
      </c>
      <c r="J144" t="s">
        <v>14</v>
      </c>
    </row>
    <row r="145" spans="1:10" x14ac:dyDescent="0.25">
      <c r="A145" t="s">
        <v>43</v>
      </c>
      <c r="B145" s="1">
        <f t="shared" si="8"/>
        <v>44955</v>
      </c>
      <c r="C145" s="1" t="str">
        <f t="shared" si="9"/>
        <v>Sunday</v>
      </c>
      <c r="D145" s="1" t="str">
        <f t="shared" si="10"/>
        <v>January</v>
      </c>
      <c r="E145" s="1" t="str">
        <f t="shared" si="11"/>
        <v>2023</v>
      </c>
      <c r="F145" t="s">
        <v>13</v>
      </c>
      <c r="G145" s="5">
        <v>662.67372448639003</v>
      </c>
      <c r="H145" s="10">
        <v>7</v>
      </c>
      <c r="I145" s="2">
        <v>199.75754240646799</v>
      </c>
      <c r="J145" t="s">
        <v>12</v>
      </c>
    </row>
    <row r="146" spans="1:10" x14ac:dyDescent="0.25">
      <c r="A146" t="s">
        <v>43</v>
      </c>
      <c r="B146" s="1">
        <f t="shared" si="8"/>
        <v>44955</v>
      </c>
      <c r="C146" s="1" t="str">
        <f t="shared" si="9"/>
        <v>Sunday</v>
      </c>
      <c r="D146" s="1" t="str">
        <f t="shared" si="10"/>
        <v>January</v>
      </c>
      <c r="E146" s="1" t="str">
        <f t="shared" si="11"/>
        <v>2023</v>
      </c>
      <c r="F146" t="s">
        <v>16</v>
      </c>
      <c r="G146" s="5">
        <v>1382.6389745967999</v>
      </c>
      <c r="H146" s="10">
        <v>18</v>
      </c>
      <c r="I146" s="2">
        <v>491.74170419066201</v>
      </c>
      <c r="J146" t="s">
        <v>12</v>
      </c>
    </row>
    <row r="147" spans="1:10" x14ac:dyDescent="0.25">
      <c r="A147" t="s">
        <v>44</v>
      </c>
      <c r="B147" s="1">
        <f t="shared" si="8"/>
        <v>44956</v>
      </c>
      <c r="C147" s="1" t="str">
        <f t="shared" si="9"/>
        <v>Monday</v>
      </c>
      <c r="D147" s="1" t="str">
        <f t="shared" si="10"/>
        <v>January</v>
      </c>
      <c r="E147" s="1" t="str">
        <f t="shared" si="11"/>
        <v>2023</v>
      </c>
      <c r="F147" t="s">
        <v>7</v>
      </c>
      <c r="G147" s="5">
        <v>972.53181854800005</v>
      </c>
      <c r="H147" s="10">
        <v>12</v>
      </c>
      <c r="I147" s="2">
        <v>260.91175041210403</v>
      </c>
      <c r="J147" t="s">
        <v>12</v>
      </c>
    </row>
    <row r="148" spans="1:10" x14ac:dyDescent="0.25">
      <c r="A148" t="s">
        <v>44</v>
      </c>
      <c r="B148" s="1">
        <f t="shared" si="8"/>
        <v>44956</v>
      </c>
      <c r="C148" s="1" t="str">
        <f t="shared" si="9"/>
        <v>Monday</v>
      </c>
      <c r="D148" s="1" t="str">
        <f t="shared" si="10"/>
        <v>January</v>
      </c>
      <c r="E148" s="1" t="str">
        <f t="shared" si="11"/>
        <v>2023</v>
      </c>
      <c r="F148" t="s">
        <v>9</v>
      </c>
      <c r="G148" s="5">
        <v>1124.11383998562</v>
      </c>
      <c r="H148" s="10">
        <v>15</v>
      </c>
      <c r="I148" s="2">
        <v>254.230410700524</v>
      </c>
      <c r="J148" t="s">
        <v>8</v>
      </c>
    </row>
    <row r="149" spans="1:10" x14ac:dyDescent="0.25">
      <c r="A149" t="s">
        <v>44</v>
      </c>
      <c r="B149" s="1">
        <f t="shared" si="8"/>
        <v>44956</v>
      </c>
      <c r="C149" s="1" t="str">
        <f t="shared" si="9"/>
        <v>Monday</v>
      </c>
      <c r="D149" s="1" t="str">
        <f t="shared" si="10"/>
        <v>January</v>
      </c>
      <c r="E149" s="1" t="str">
        <f t="shared" si="11"/>
        <v>2023</v>
      </c>
      <c r="F149" t="s">
        <v>11</v>
      </c>
      <c r="G149" s="5">
        <v>142.62655129177</v>
      </c>
      <c r="H149" s="10">
        <v>14</v>
      </c>
      <c r="I149" s="2">
        <v>436.53094821817501</v>
      </c>
      <c r="J149" t="s">
        <v>10</v>
      </c>
    </row>
    <row r="150" spans="1:10" x14ac:dyDescent="0.25">
      <c r="A150" t="s">
        <v>44</v>
      </c>
      <c r="B150" s="1">
        <f t="shared" si="8"/>
        <v>44956</v>
      </c>
      <c r="C150" s="1" t="str">
        <f t="shared" si="9"/>
        <v>Monday</v>
      </c>
      <c r="D150" s="1" t="str">
        <f t="shared" si="10"/>
        <v>January</v>
      </c>
      <c r="E150" s="1" t="str">
        <f t="shared" si="11"/>
        <v>2023</v>
      </c>
      <c r="F150" t="s">
        <v>13</v>
      </c>
      <c r="G150" s="5">
        <v>17.397389446999998</v>
      </c>
      <c r="H150" s="10">
        <v>2</v>
      </c>
      <c r="I150" s="2">
        <v>219.54675986514201</v>
      </c>
      <c r="J150" t="s">
        <v>12</v>
      </c>
    </row>
    <row r="151" spans="1:10" x14ac:dyDescent="0.25">
      <c r="A151" t="s">
        <v>44</v>
      </c>
      <c r="B151" s="1">
        <f t="shared" si="8"/>
        <v>44956</v>
      </c>
      <c r="C151" s="1" t="str">
        <f t="shared" si="9"/>
        <v>Monday</v>
      </c>
      <c r="D151" s="1" t="str">
        <f t="shared" si="10"/>
        <v>January</v>
      </c>
      <c r="E151" s="1" t="str">
        <f t="shared" si="11"/>
        <v>2023</v>
      </c>
      <c r="F151" t="s">
        <v>16</v>
      </c>
      <c r="G151" s="5">
        <v>124.79567668222001</v>
      </c>
      <c r="H151" s="10">
        <v>18</v>
      </c>
      <c r="I151" s="2">
        <v>270.087982277452</v>
      </c>
      <c r="J151" t="s">
        <v>10</v>
      </c>
    </row>
    <row r="152" spans="1:10" x14ac:dyDescent="0.25">
      <c r="A152" t="s">
        <v>45</v>
      </c>
      <c r="B152" s="1">
        <f t="shared" si="8"/>
        <v>44957</v>
      </c>
      <c r="C152" s="1" t="str">
        <f t="shared" si="9"/>
        <v>Tuesday</v>
      </c>
      <c r="D152" s="1" t="str">
        <f t="shared" si="10"/>
        <v>January</v>
      </c>
      <c r="E152" s="1" t="str">
        <f t="shared" si="11"/>
        <v>2023</v>
      </c>
      <c r="F152" t="s">
        <v>7</v>
      </c>
      <c r="G152" s="5">
        <v>175.3584916659</v>
      </c>
      <c r="H152" s="10">
        <v>6</v>
      </c>
      <c r="I152" s="2">
        <v>253.00296270000001</v>
      </c>
      <c r="J152" t="s">
        <v>10</v>
      </c>
    </row>
    <row r="153" spans="1:10" x14ac:dyDescent="0.25">
      <c r="A153" t="s">
        <v>45</v>
      </c>
      <c r="B153" s="1">
        <f t="shared" si="8"/>
        <v>44957</v>
      </c>
      <c r="C153" s="1" t="str">
        <f t="shared" si="9"/>
        <v>Tuesday</v>
      </c>
      <c r="D153" s="1" t="str">
        <f t="shared" si="10"/>
        <v>January</v>
      </c>
      <c r="E153" s="1" t="str">
        <f t="shared" si="11"/>
        <v>2023</v>
      </c>
      <c r="F153" t="s">
        <v>9</v>
      </c>
      <c r="G153" s="5">
        <v>863.86158352999996</v>
      </c>
      <c r="H153" s="10">
        <v>10</v>
      </c>
      <c r="I153" s="2">
        <v>309.87481292285202</v>
      </c>
      <c r="J153" t="s">
        <v>8</v>
      </c>
    </row>
    <row r="154" spans="1:10" x14ac:dyDescent="0.25">
      <c r="A154" t="s">
        <v>45</v>
      </c>
      <c r="B154" s="1">
        <f t="shared" si="8"/>
        <v>44957</v>
      </c>
      <c r="C154" s="1" t="str">
        <f t="shared" si="9"/>
        <v>Tuesday</v>
      </c>
      <c r="D154" s="1" t="str">
        <f t="shared" si="10"/>
        <v>January</v>
      </c>
      <c r="E154" s="1" t="str">
        <f t="shared" si="11"/>
        <v>2023</v>
      </c>
      <c r="F154" t="s">
        <v>11</v>
      </c>
      <c r="G154" s="5">
        <v>941.59892143675597</v>
      </c>
      <c r="H154" s="10">
        <v>17</v>
      </c>
      <c r="I154" s="2">
        <v>233.17274337921901</v>
      </c>
      <c r="J154" t="s">
        <v>14</v>
      </c>
    </row>
    <row r="155" spans="1:10" x14ac:dyDescent="0.25">
      <c r="A155" t="s">
        <v>45</v>
      </c>
      <c r="B155" s="1">
        <f t="shared" si="8"/>
        <v>44957</v>
      </c>
      <c r="C155" s="1" t="str">
        <f t="shared" si="9"/>
        <v>Tuesday</v>
      </c>
      <c r="D155" s="1" t="str">
        <f t="shared" si="10"/>
        <v>January</v>
      </c>
      <c r="E155" s="1" t="str">
        <f t="shared" si="11"/>
        <v>2023</v>
      </c>
      <c r="F155" t="s">
        <v>13</v>
      </c>
      <c r="G155" s="4">
        <v>746.15692945599994</v>
      </c>
      <c r="H155" s="10">
        <v>5</v>
      </c>
      <c r="I155" s="2">
        <v>561.81928069404103</v>
      </c>
      <c r="J155" t="s">
        <v>8</v>
      </c>
    </row>
    <row r="156" spans="1:10" x14ac:dyDescent="0.25">
      <c r="A156" t="s">
        <v>45</v>
      </c>
      <c r="B156" s="1">
        <f t="shared" si="8"/>
        <v>44957</v>
      </c>
      <c r="C156" s="1" t="str">
        <f t="shared" si="9"/>
        <v>Tuesday</v>
      </c>
      <c r="D156" s="1" t="str">
        <f t="shared" si="10"/>
        <v>January</v>
      </c>
      <c r="E156" s="1" t="str">
        <f t="shared" si="11"/>
        <v>2023</v>
      </c>
      <c r="F156" t="s">
        <v>16</v>
      </c>
      <c r="G156" s="5">
        <v>655.58352815327703</v>
      </c>
      <c r="H156" s="10">
        <v>11</v>
      </c>
      <c r="I156" s="2">
        <v>112.789006424075</v>
      </c>
      <c r="J156" t="s">
        <v>10</v>
      </c>
    </row>
    <row r="157" spans="1:10" x14ac:dyDescent="0.25">
      <c r="A157" t="s">
        <v>46</v>
      </c>
      <c r="B157" s="1">
        <f t="shared" si="8"/>
        <v>44958</v>
      </c>
      <c r="C157" s="1" t="str">
        <f t="shared" si="9"/>
        <v>Wednesday</v>
      </c>
      <c r="D157" s="1" t="str">
        <f t="shared" si="10"/>
        <v>February</v>
      </c>
      <c r="E157" s="1" t="str">
        <f t="shared" si="11"/>
        <v>2023</v>
      </c>
      <c r="F157" t="s">
        <v>7</v>
      </c>
      <c r="G157" s="5">
        <v>819.32313913534699</v>
      </c>
      <c r="H157" s="10">
        <v>15</v>
      </c>
      <c r="I157" s="2">
        <v>113.610555411551</v>
      </c>
      <c r="J157" t="s">
        <v>10</v>
      </c>
    </row>
    <row r="158" spans="1:10" x14ac:dyDescent="0.25">
      <c r="A158" t="s">
        <v>46</v>
      </c>
      <c r="B158" s="1">
        <f t="shared" si="8"/>
        <v>44958</v>
      </c>
      <c r="C158" s="1" t="str">
        <f t="shared" si="9"/>
        <v>Wednesday</v>
      </c>
      <c r="D158" s="1" t="str">
        <f t="shared" si="10"/>
        <v>February</v>
      </c>
      <c r="E158" s="1" t="str">
        <f t="shared" si="11"/>
        <v>2023</v>
      </c>
      <c r="F158" t="s">
        <v>9</v>
      </c>
      <c r="G158" s="5">
        <v>47.761932997499997</v>
      </c>
      <c r="H158" s="10">
        <v>16</v>
      </c>
      <c r="I158" s="2">
        <v>137.586022586913</v>
      </c>
      <c r="J158" t="s">
        <v>14</v>
      </c>
    </row>
    <row r="159" spans="1:10" x14ac:dyDescent="0.25">
      <c r="A159" t="s">
        <v>46</v>
      </c>
      <c r="B159" s="1">
        <f t="shared" si="8"/>
        <v>44958</v>
      </c>
      <c r="C159" s="1" t="str">
        <f t="shared" si="9"/>
        <v>Wednesday</v>
      </c>
      <c r="D159" s="1" t="str">
        <f t="shared" si="10"/>
        <v>February</v>
      </c>
      <c r="E159" s="1" t="str">
        <f t="shared" si="11"/>
        <v>2023</v>
      </c>
      <c r="F159" t="s">
        <v>11</v>
      </c>
      <c r="G159" s="5">
        <v>1449.966627255</v>
      </c>
      <c r="H159" s="10">
        <v>4</v>
      </c>
      <c r="I159" s="2">
        <v>295.35846521021301</v>
      </c>
      <c r="J159" t="s">
        <v>10</v>
      </c>
    </row>
    <row r="160" spans="1:10" x14ac:dyDescent="0.25">
      <c r="A160" t="s">
        <v>46</v>
      </c>
      <c r="B160" s="1">
        <f t="shared" si="8"/>
        <v>44958</v>
      </c>
      <c r="C160" s="1" t="str">
        <f t="shared" si="9"/>
        <v>Wednesday</v>
      </c>
      <c r="D160" s="1" t="str">
        <f t="shared" si="10"/>
        <v>February</v>
      </c>
      <c r="E160" s="1" t="str">
        <f t="shared" si="11"/>
        <v>2023</v>
      </c>
      <c r="F160" t="s">
        <v>13</v>
      </c>
      <c r="G160" s="5">
        <v>113.11842528</v>
      </c>
      <c r="H160" s="10">
        <v>18</v>
      </c>
      <c r="I160" s="2">
        <v>284.25925515677102</v>
      </c>
      <c r="J160" t="s">
        <v>10</v>
      </c>
    </row>
    <row r="161" spans="1:10" x14ac:dyDescent="0.25">
      <c r="A161" t="s">
        <v>46</v>
      </c>
      <c r="B161" s="1">
        <f t="shared" si="8"/>
        <v>44958</v>
      </c>
      <c r="C161" s="1" t="str">
        <f t="shared" si="9"/>
        <v>Wednesday</v>
      </c>
      <c r="D161" s="1" t="str">
        <f t="shared" si="10"/>
        <v>February</v>
      </c>
      <c r="E161" s="1" t="str">
        <f t="shared" si="11"/>
        <v>2023</v>
      </c>
      <c r="F161" t="s">
        <v>16</v>
      </c>
      <c r="G161" s="5">
        <v>1322.146362962</v>
      </c>
      <c r="H161" s="10">
        <v>19</v>
      </c>
      <c r="I161" s="2">
        <v>458.15841562049297</v>
      </c>
      <c r="J161" t="s">
        <v>12</v>
      </c>
    </row>
    <row r="162" spans="1:10" x14ac:dyDescent="0.25">
      <c r="A162" t="s">
        <v>47</v>
      </c>
      <c r="B162" s="1">
        <f t="shared" si="8"/>
        <v>44959</v>
      </c>
      <c r="C162" s="1" t="str">
        <f t="shared" si="9"/>
        <v>Thursday</v>
      </c>
      <c r="D162" s="1" t="str">
        <f t="shared" si="10"/>
        <v>February</v>
      </c>
      <c r="E162" s="1" t="str">
        <f t="shared" si="11"/>
        <v>2023</v>
      </c>
      <c r="F162" t="s">
        <v>7</v>
      </c>
      <c r="G162" s="5">
        <v>755.35278134529995</v>
      </c>
      <c r="H162" s="10">
        <v>6</v>
      </c>
      <c r="I162" s="2">
        <v>102.871729433615</v>
      </c>
      <c r="J162" t="s">
        <v>8</v>
      </c>
    </row>
    <row r="163" spans="1:10" x14ac:dyDescent="0.25">
      <c r="A163" t="s">
        <v>47</v>
      </c>
      <c r="B163" s="1">
        <f t="shared" si="8"/>
        <v>44959</v>
      </c>
      <c r="C163" s="1" t="str">
        <f t="shared" si="9"/>
        <v>Thursday</v>
      </c>
      <c r="D163" s="1" t="str">
        <f t="shared" si="10"/>
        <v>February</v>
      </c>
      <c r="E163" s="1" t="str">
        <f t="shared" si="11"/>
        <v>2023</v>
      </c>
      <c r="F163" t="s">
        <v>9</v>
      </c>
      <c r="G163" s="5">
        <v>832.29235200000005</v>
      </c>
      <c r="H163" s="10">
        <v>12</v>
      </c>
      <c r="I163" s="2">
        <v>134.74822794149</v>
      </c>
      <c r="J163" t="s">
        <v>12</v>
      </c>
    </row>
    <row r="164" spans="1:10" x14ac:dyDescent="0.25">
      <c r="A164" t="s">
        <v>47</v>
      </c>
      <c r="B164" s="1">
        <f t="shared" si="8"/>
        <v>44959</v>
      </c>
      <c r="C164" s="1" t="str">
        <f t="shared" si="9"/>
        <v>Thursday</v>
      </c>
      <c r="D164" s="1" t="str">
        <f t="shared" si="10"/>
        <v>February</v>
      </c>
      <c r="E164" s="1" t="str">
        <f t="shared" si="11"/>
        <v>2023</v>
      </c>
      <c r="F164" t="s">
        <v>11</v>
      </c>
      <c r="G164" s="5">
        <v>887.61614931559996</v>
      </c>
      <c r="H164" s="10">
        <v>9</v>
      </c>
      <c r="I164" s="2">
        <v>113.335341791128</v>
      </c>
      <c r="J164" t="s">
        <v>10</v>
      </c>
    </row>
    <row r="165" spans="1:10" x14ac:dyDescent="0.25">
      <c r="A165" t="s">
        <v>47</v>
      </c>
      <c r="B165" s="1">
        <f t="shared" si="8"/>
        <v>44959</v>
      </c>
      <c r="C165" s="1" t="str">
        <f t="shared" si="9"/>
        <v>Thursday</v>
      </c>
      <c r="D165" s="1" t="str">
        <f t="shared" si="10"/>
        <v>February</v>
      </c>
      <c r="E165" s="1" t="str">
        <f t="shared" si="11"/>
        <v>2023</v>
      </c>
      <c r="F165" t="s">
        <v>13</v>
      </c>
      <c r="G165" s="5">
        <v>754.39694399999996</v>
      </c>
      <c r="H165" s="10">
        <v>15</v>
      </c>
      <c r="I165" s="2">
        <v>191.237430581502</v>
      </c>
      <c r="J165" t="s">
        <v>10</v>
      </c>
    </row>
    <row r="166" spans="1:10" x14ac:dyDescent="0.25">
      <c r="A166" t="s">
        <v>47</v>
      </c>
      <c r="B166" s="1">
        <f t="shared" si="8"/>
        <v>44959</v>
      </c>
      <c r="C166" s="1" t="str">
        <f t="shared" si="9"/>
        <v>Thursday</v>
      </c>
      <c r="D166" s="1" t="str">
        <f t="shared" si="10"/>
        <v>February</v>
      </c>
      <c r="E166" s="1" t="str">
        <f t="shared" si="11"/>
        <v>2023</v>
      </c>
      <c r="F166" t="s">
        <v>16</v>
      </c>
      <c r="G166" s="5">
        <v>1255.4627938149999</v>
      </c>
      <c r="H166" s="10">
        <v>17</v>
      </c>
      <c r="I166" s="2">
        <v>350.48862443789602</v>
      </c>
      <c r="J166" t="s">
        <v>14</v>
      </c>
    </row>
    <row r="167" spans="1:10" x14ac:dyDescent="0.25">
      <c r="A167" t="s">
        <v>48</v>
      </c>
      <c r="B167" s="1">
        <f t="shared" si="8"/>
        <v>44960</v>
      </c>
      <c r="C167" s="1" t="str">
        <f t="shared" si="9"/>
        <v>Friday</v>
      </c>
      <c r="D167" s="1" t="str">
        <f t="shared" si="10"/>
        <v>February</v>
      </c>
      <c r="E167" s="1" t="str">
        <f t="shared" si="11"/>
        <v>2023</v>
      </c>
      <c r="F167" t="s">
        <v>7</v>
      </c>
      <c r="G167" s="5">
        <v>813.89883239333994</v>
      </c>
      <c r="H167" s="10">
        <v>15</v>
      </c>
      <c r="I167" s="2">
        <v>212.40695876411101</v>
      </c>
      <c r="J167" t="s">
        <v>14</v>
      </c>
    </row>
    <row r="168" spans="1:10" x14ac:dyDescent="0.25">
      <c r="A168" t="s">
        <v>48</v>
      </c>
      <c r="B168" s="1">
        <f t="shared" si="8"/>
        <v>44960</v>
      </c>
      <c r="C168" s="1" t="str">
        <f t="shared" si="9"/>
        <v>Friday</v>
      </c>
      <c r="D168" s="1" t="str">
        <f t="shared" si="10"/>
        <v>February</v>
      </c>
      <c r="E168" s="1" t="str">
        <f t="shared" si="11"/>
        <v>2023</v>
      </c>
      <c r="F168" t="s">
        <v>9</v>
      </c>
      <c r="G168" s="5">
        <v>1712.2425232170001</v>
      </c>
      <c r="H168" s="10">
        <v>14</v>
      </c>
      <c r="I168" s="2">
        <v>408.81573510289002</v>
      </c>
      <c r="J168" t="s">
        <v>8</v>
      </c>
    </row>
    <row r="169" spans="1:10" x14ac:dyDescent="0.25">
      <c r="A169" t="s">
        <v>48</v>
      </c>
      <c r="B169" s="1">
        <f t="shared" si="8"/>
        <v>44960</v>
      </c>
      <c r="C169" s="1" t="str">
        <f t="shared" si="9"/>
        <v>Friday</v>
      </c>
      <c r="D169" s="1" t="str">
        <f t="shared" si="10"/>
        <v>February</v>
      </c>
      <c r="E169" s="1" t="str">
        <f t="shared" si="11"/>
        <v>2023</v>
      </c>
      <c r="F169" t="s">
        <v>11</v>
      </c>
      <c r="G169" s="5">
        <v>96.782726148410006</v>
      </c>
      <c r="H169" s="10">
        <v>14</v>
      </c>
      <c r="I169" s="2">
        <v>130.86844877145199</v>
      </c>
      <c r="J169" t="s">
        <v>10</v>
      </c>
    </row>
    <row r="170" spans="1:10" x14ac:dyDescent="0.25">
      <c r="A170" t="s">
        <v>48</v>
      </c>
      <c r="B170" s="1">
        <f t="shared" si="8"/>
        <v>44960</v>
      </c>
      <c r="C170" s="1" t="str">
        <f t="shared" si="9"/>
        <v>Friday</v>
      </c>
      <c r="D170" s="1" t="str">
        <f t="shared" si="10"/>
        <v>February</v>
      </c>
      <c r="E170" s="1" t="str">
        <f t="shared" si="11"/>
        <v>2023</v>
      </c>
      <c r="F170" t="s">
        <v>13</v>
      </c>
      <c r="G170" s="5">
        <v>1172.9678891671999</v>
      </c>
      <c r="H170" s="10">
        <v>14</v>
      </c>
      <c r="I170" s="2">
        <v>381.07925973082502</v>
      </c>
      <c r="J170" t="s">
        <v>14</v>
      </c>
    </row>
    <row r="171" spans="1:10" x14ac:dyDescent="0.25">
      <c r="A171" t="s">
        <v>48</v>
      </c>
      <c r="B171" s="1">
        <f t="shared" si="8"/>
        <v>44960</v>
      </c>
      <c r="C171" s="1" t="str">
        <f t="shared" si="9"/>
        <v>Friday</v>
      </c>
      <c r="D171" s="1" t="str">
        <f t="shared" si="10"/>
        <v>February</v>
      </c>
      <c r="E171" s="1" t="str">
        <f t="shared" si="11"/>
        <v>2023</v>
      </c>
      <c r="F171" t="s">
        <v>16</v>
      </c>
      <c r="G171" s="5">
        <v>193.37546363600001</v>
      </c>
      <c r="H171" s="10">
        <v>13</v>
      </c>
      <c r="I171" s="2">
        <v>393.79487067810101</v>
      </c>
      <c r="J171" t="s">
        <v>12</v>
      </c>
    </row>
    <row r="172" spans="1:10" x14ac:dyDescent="0.25">
      <c r="A172" t="s">
        <v>49</v>
      </c>
      <c r="B172" s="1">
        <f t="shared" si="8"/>
        <v>44961</v>
      </c>
      <c r="C172" s="1" t="str">
        <f t="shared" si="9"/>
        <v>Saturday</v>
      </c>
      <c r="D172" s="1" t="str">
        <f t="shared" si="10"/>
        <v>February</v>
      </c>
      <c r="E172" s="1" t="str">
        <f t="shared" si="11"/>
        <v>2023</v>
      </c>
      <c r="F172" t="s">
        <v>7</v>
      </c>
      <c r="G172" s="5">
        <v>518.66139227279996</v>
      </c>
      <c r="H172" s="10">
        <v>5</v>
      </c>
      <c r="I172" s="2">
        <v>80.137140011261906</v>
      </c>
      <c r="J172" t="s">
        <v>10</v>
      </c>
    </row>
    <row r="173" spans="1:10" x14ac:dyDescent="0.25">
      <c r="A173" t="s">
        <v>49</v>
      </c>
      <c r="B173" s="1">
        <f t="shared" si="8"/>
        <v>44961</v>
      </c>
      <c r="C173" s="1" t="str">
        <f t="shared" si="9"/>
        <v>Saturday</v>
      </c>
      <c r="D173" s="1" t="str">
        <f t="shared" si="10"/>
        <v>February</v>
      </c>
      <c r="E173" s="1" t="str">
        <f t="shared" si="11"/>
        <v>2023</v>
      </c>
      <c r="F173" t="s">
        <v>9</v>
      </c>
      <c r="G173" s="5">
        <v>161.39976160000001</v>
      </c>
      <c r="H173" s="10">
        <v>17</v>
      </c>
      <c r="I173" s="2">
        <v>173.410289402015</v>
      </c>
      <c r="J173" t="s">
        <v>12</v>
      </c>
    </row>
    <row r="174" spans="1:10" x14ac:dyDescent="0.25">
      <c r="A174" t="s">
        <v>49</v>
      </c>
      <c r="B174" s="1">
        <f t="shared" si="8"/>
        <v>44961</v>
      </c>
      <c r="C174" s="1" t="str">
        <f t="shared" si="9"/>
        <v>Saturday</v>
      </c>
      <c r="D174" s="1" t="str">
        <f t="shared" si="10"/>
        <v>February</v>
      </c>
      <c r="E174" s="1" t="str">
        <f t="shared" si="11"/>
        <v>2023</v>
      </c>
      <c r="F174" t="s">
        <v>11</v>
      </c>
      <c r="G174" s="5">
        <v>531.84822568519803</v>
      </c>
      <c r="H174" s="10">
        <v>13</v>
      </c>
      <c r="I174" s="2">
        <v>147.89515052937301</v>
      </c>
      <c r="J174" t="s">
        <v>14</v>
      </c>
    </row>
    <row r="175" spans="1:10" x14ac:dyDescent="0.25">
      <c r="A175" t="s">
        <v>49</v>
      </c>
      <c r="B175" s="1">
        <f t="shared" si="8"/>
        <v>44961</v>
      </c>
      <c r="C175" s="1" t="str">
        <f t="shared" si="9"/>
        <v>Saturday</v>
      </c>
      <c r="D175" s="1" t="str">
        <f t="shared" si="10"/>
        <v>February</v>
      </c>
      <c r="E175" s="1" t="str">
        <f t="shared" si="11"/>
        <v>2023</v>
      </c>
      <c r="F175" t="s">
        <v>13</v>
      </c>
      <c r="G175" s="5">
        <v>162.6838932</v>
      </c>
      <c r="H175" s="10">
        <v>10</v>
      </c>
      <c r="I175" s="2">
        <v>357.63225962936099</v>
      </c>
      <c r="J175" t="s">
        <v>8</v>
      </c>
    </row>
    <row r="176" spans="1:10" x14ac:dyDescent="0.25">
      <c r="A176" t="s">
        <v>49</v>
      </c>
      <c r="B176" s="1">
        <f t="shared" si="8"/>
        <v>44961</v>
      </c>
      <c r="C176" s="1" t="str">
        <f t="shared" si="9"/>
        <v>Saturday</v>
      </c>
      <c r="D176" s="1" t="str">
        <f t="shared" si="10"/>
        <v>February</v>
      </c>
      <c r="E176" s="1" t="str">
        <f t="shared" si="11"/>
        <v>2023</v>
      </c>
      <c r="F176" t="s">
        <v>16</v>
      </c>
      <c r="G176" s="5">
        <v>1771.99748563312</v>
      </c>
      <c r="H176" s="10">
        <v>2</v>
      </c>
      <c r="I176" s="2">
        <v>473.69511643196199</v>
      </c>
      <c r="J176" t="s">
        <v>14</v>
      </c>
    </row>
    <row r="177" spans="1:10" x14ac:dyDescent="0.25">
      <c r="A177" t="s">
        <v>50</v>
      </c>
      <c r="B177" s="1">
        <f t="shared" si="8"/>
        <v>44962</v>
      </c>
      <c r="C177" s="1" t="str">
        <f t="shared" si="9"/>
        <v>Sunday</v>
      </c>
      <c r="D177" s="1" t="str">
        <f t="shared" si="10"/>
        <v>February</v>
      </c>
      <c r="E177" s="1" t="str">
        <f t="shared" si="11"/>
        <v>2023</v>
      </c>
      <c r="F177" t="s">
        <v>7</v>
      </c>
      <c r="G177" s="5">
        <v>812.79498133342599</v>
      </c>
      <c r="H177" s="10">
        <v>17</v>
      </c>
      <c r="I177" s="2">
        <v>218.91621929329699</v>
      </c>
      <c r="J177" t="s">
        <v>12</v>
      </c>
    </row>
    <row r="178" spans="1:10" x14ac:dyDescent="0.25">
      <c r="A178" t="s">
        <v>50</v>
      </c>
      <c r="B178" s="1">
        <f t="shared" si="8"/>
        <v>44962</v>
      </c>
      <c r="C178" s="1" t="str">
        <f t="shared" si="9"/>
        <v>Sunday</v>
      </c>
      <c r="D178" s="1" t="str">
        <f t="shared" si="10"/>
        <v>February</v>
      </c>
      <c r="E178" s="1" t="str">
        <f t="shared" si="11"/>
        <v>2023</v>
      </c>
      <c r="F178" t="s">
        <v>9</v>
      </c>
      <c r="G178" s="5">
        <v>737.31452398457202</v>
      </c>
      <c r="H178" s="10">
        <v>2</v>
      </c>
      <c r="I178" s="2">
        <v>127.780991550122</v>
      </c>
      <c r="J178" t="s">
        <v>10</v>
      </c>
    </row>
    <row r="179" spans="1:10" x14ac:dyDescent="0.25">
      <c r="A179" t="s">
        <v>50</v>
      </c>
      <c r="B179" s="1">
        <f t="shared" si="8"/>
        <v>44962</v>
      </c>
      <c r="C179" s="1" t="str">
        <f t="shared" si="9"/>
        <v>Sunday</v>
      </c>
      <c r="D179" s="1" t="str">
        <f t="shared" si="10"/>
        <v>February</v>
      </c>
      <c r="E179" s="1" t="str">
        <f t="shared" si="11"/>
        <v>2023</v>
      </c>
      <c r="F179" t="s">
        <v>11</v>
      </c>
      <c r="G179" s="5">
        <v>585.16871699000001</v>
      </c>
      <c r="H179" s="10">
        <v>13</v>
      </c>
      <c r="I179" s="2">
        <v>116.508031261768</v>
      </c>
      <c r="J179" t="s">
        <v>8</v>
      </c>
    </row>
    <row r="180" spans="1:10" x14ac:dyDescent="0.25">
      <c r="A180" t="s">
        <v>50</v>
      </c>
      <c r="B180" s="1">
        <f t="shared" si="8"/>
        <v>44962</v>
      </c>
      <c r="C180" s="1" t="str">
        <f t="shared" si="9"/>
        <v>Sunday</v>
      </c>
      <c r="D180" s="1" t="str">
        <f t="shared" si="10"/>
        <v>February</v>
      </c>
      <c r="E180" s="1" t="str">
        <f t="shared" si="11"/>
        <v>2023</v>
      </c>
      <c r="F180" t="s">
        <v>13</v>
      </c>
      <c r="G180" s="5">
        <v>891.57314817196004</v>
      </c>
      <c r="H180" s="10">
        <v>6</v>
      </c>
      <c r="I180" s="2">
        <v>186.88001379405301</v>
      </c>
      <c r="J180" t="s">
        <v>14</v>
      </c>
    </row>
    <row r="181" spans="1:10" x14ac:dyDescent="0.25">
      <c r="A181" t="s">
        <v>50</v>
      </c>
      <c r="B181" s="1">
        <f t="shared" si="8"/>
        <v>44962</v>
      </c>
      <c r="C181" s="1" t="str">
        <f t="shared" si="9"/>
        <v>Sunday</v>
      </c>
      <c r="D181" s="1" t="str">
        <f t="shared" si="10"/>
        <v>February</v>
      </c>
      <c r="E181" s="1" t="str">
        <f t="shared" si="11"/>
        <v>2023</v>
      </c>
      <c r="F181" t="s">
        <v>16</v>
      </c>
      <c r="G181" s="5">
        <v>928.45198978478197</v>
      </c>
      <c r="H181" s="10">
        <v>4</v>
      </c>
      <c r="I181" s="2">
        <v>329.82816419209399</v>
      </c>
      <c r="J181" t="s">
        <v>12</v>
      </c>
    </row>
    <row r="182" spans="1:10" x14ac:dyDescent="0.25">
      <c r="A182" t="s">
        <v>51</v>
      </c>
      <c r="B182" s="1">
        <f t="shared" si="8"/>
        <v>44963</v>
      </c>
      <c r="C182" s="1" t="str">
        <f t="shared" si="9"/>
        <v>Monday</v>
      </c>
      <c r="D182" s="1" t="str">
        <f t="shared" si="10"/>
        <v>February</v>
      </c>
      <c r="E182" s="1" t="str">
        <f t="shared" si="11"/>
        <v>2023</v>
      </c>
      <c r="F182" t="s">
        <v>7</v>
      </c>
      <c r="G182" s="5">
        <v>751.42486869437903</v>
      </c>
      <c r="H182" s="10">
        <v>9</v>
      </c>
      <c r="I182" s="2">
        <v>93.229376409035197</v>
      </c>
      <c r="J182" t="s">
        <v>10</v>
      </c>
    </row>
    <row r="183" spans="1:10" x14ac:dyDescent="0.25">
      <c r="A183" t="s">
        <v>51</v>
      </c>
      <c r="B183" s="1">
        <f t="shared" si="8"/>
        <v>44963</v>
      </c>
      <c r="C183" s="1" t="str">
        <f t="shared" si="9"/>
        <v>Monday</v>
      </c>
      <c r="D183" s="1" t="str">
        <f t="shared" si="10"/>
        <v>February</v>
      </c>
      <c r="E183" s="1" t="str">
        <f t="shared" si="11"/>
        <v>2023</v>
      </c>
      <c r="F183" t="s">
        <v>9</v>
      </c>
      <c r="G183" s="5">
        <v>792.354336376932</v>
      </c>
      <c r="H183" s="10">
        <v>8</v>
      </c>
      <c r="I183" s="2">
        <v>258.53678971366003</v>
      </c>
      <c r="J183" t="s">
        <v>14</v>
      </c>
    </row>
    <row r="184" spans="1:10" x14ac:dyDescent="0.25">
      <c r="A184" t="s">
        <v>51</v>
      </c>
      <c r="B184" s="1">
        <f t="shared" si="8"/>
        <v>44963</v>
      </c>
      <c r="C184" s="1" t="str">
        <f t="shared" si="9"/>
        <v>Monday</v>
      </c>
      <c r="D184" s="1" t="str">
        <f t="shared" si="10"/>
        <v>February</v>
      </c>
      <c r="E184" s="1" t="str">
        <f t="shared" si="11"/>
        <v>2023</v>
      </c>
      <c r="F184" t="s">
        <v>11</v>
      </c>
      <c r="G184" s="5">
        <v>928.31558594770001</v>
      </c>
      <c r="H184" s="10">
        <v>11</v>
      </c>
      <c r="I184" s="2">
        <v>333.87068500688201</v>
      </c>
      <c r="J184" t="s">
        <v>12</v>
      </c>
    </row>
    <row r="185" spans="1:10" x14ac:dyDescent="0.25">
      <c r="A185" t="s">
        <v>51</v>
      </c>
      <c r="B185" s="1">
        <f t="shared" si="8"/>
        <v>44963</v>
      </c>
      <c r="C185" s="1" t="str">
        <f t="shared" si="9"/>
        <v>Monday</v>
      </c>
      <c r="D185" s="1" t="str">
        <f t="shared" si="10"/>
        <v>February</v>
      </c>
      <c r="E185" s="1" t="str">
        <f t="shared" si="11"/>
        <v>2023</v>
      </c>
      <c r="F185" t="s">
        <v>13</v>
      </c>
      <c r="G185" s="5">
        <v>727.73913875200003</v>
      </c>
      <c r="H185" s="10">
        <v>17</v>
      </c>
      <c r="I185" s="2">
        <v>179.913005584198</v>
      </c>
      <c r="J185" t="s">
        <v>12</v>
      </c>
    </row>
    <row r="186" spans="1:10" x14ac:dyDescent="0.25">
      <c r="A186" t="s">
        <v>51</v>
      </c>
      <c r="B186" s="1">
        <f t="shared" si="8"/>
        <v>44963</v>
      </c>
      <c r="C186" s="1" t="str">
        <f t="shared" si="9"/>
        <v>Monday</v>
      </c>
      <c r="D186" s="1" t="str">
        <f t="shared" si="10"/>
        <v>February</v>
      </c>
      <c r="E186" s="1" t="str">
        <f t="shared" si="11"/>
        <v>2023</v>
      </c>
      <c r="F186" t="s">
        <v>16</v>
      </c>
      <c r="G186" s="5">
        <v>1158.4949828891099</v>
      </c>
      <c r="H186" s="10">
        <v>15</v>
      </c>
      <c r="I186" s="2">
        <v>301.80070919999997</v>
      </c>
      <c r="J186" t="s">
        <v>12</v>
      </c>
    </row>
    <row r="187" spans="1:10" x14ac:dyDescent="0.25">
      <c r="A187" t="s">
        <v>52</v>
      </c>
      <c r="B187" s="1">
        <f t="shared" si="8"/>
        <v>44964</v>
      </c>
      <c r="C187" s="1" t="str">
        <f t="shared" si="9"/>
        <v>Tuesday</v>
      </c>
      <c r="D187" s="1" t="str">
        <f t="shared" si="10"/>
        <v>February</v>
      </c>
      <c r="E187" s="1" t="str">
        <f t="shared" si="11"/>
        <v>2023</v>
      </c>
      <c r="F187" t="s">
        <v>7</v>
      </c>
      <c r="G187" s="5">
        <v>162.25145547739999</v>
      </c>
      <c r="H187" s="10">
        <v>19</v>
      </c>
      <c r="I187" s="2">
        <v>373.46066450000001</v>
      </c>
      <c r="J187" t="s">
        <v>8</v>
      </c>
    </row>
    <row r="188" spans="1:10" x14ac:dyDescent="0.25">
      <c r="A188" t="s">
        <v>52</v>
      </c>
      <c r="B188" s="1">
        <f t="shared" si="8"/>
        <v>44964</v>
      </c>
      <c r="C188" s="1" t="str">
        <f t="shared" si="9"/>
        <v>Tuesday</v>
      </c>
      <c r="D188" s="1" t="str">
        <f t="shared" si="10"/>
        <v>February</v>
      </c>
      <c r="E188" s="1" t="str">
        <f t="shared" si="11"/>
        <v>2023</v>
      </c>
      <c r="F188" t="s">
        <v>9</v>
      </c>
      <c r="G188" s="5">
        <v>83.632899191269999</v>
      </c>
      <c r="H188" s="10">
        <v>19</v>
      </c>
      <c r="I188" s="2">
        <v>132.77839513073999</v>
      </c>
      <c r="J188" t="s">
        <v>14</v>
      </c>
    </row>
    <row r="189" spans="1:10" x14ac:dyDescent="0.25">
      <c r="A189" t="s">
        <v>52</v>
      </c>
      <c r="B189" s="1">
        <f t="shared" si="8"/>
        <v>44964</v>
      </c>
      <c r="C189" s="1" t="str">
        <f t="shared" si="9"/>
        <v>Tuesday</v>
      </c>
      <c r="D189" s="1" t="str">
        <f t="shared" si="10"/>
        <v>February</v>
      </c>
      <c r="E189" s="1" t="str">
        <f t="shared" si="11"/>
        <v>2023</v>
      </c>
      <c r="F189" t="s">
        <v>11</v>
      </c>
      <c r="G189" s="5">
        <v>781.46151349589695</v>
      </c>
      <c r="H189" s="10">
        <v>17</v>
      </c>
      <c r="I189" s="2">
        <v>181.107403910632</v>
      </c>
      <c r="J189" t="s">
        <v>8</v>
      </c>
    </row>
    <row r="190" spans="1:10" x14ac:dyDescent="0.25">
      <c r="A190" t="s">
        <v>52</v>
      </c>
      <c r="B190" s="1">
        <f t="shared" si="8"/>
        <v>44964</v>
      </c>
      <c r="C190" s="1" t="str">
        <f t="shared" si="9"/>
        <v>Tuesday</v>
      </c>
      <c r="D190" s="1" t="str">
        <f t="shared" si="10"/>
        <v>February</v>
      </c>
      <c r="E190" s="1" t="str">
        <f t="shared" si="11"/>
        <v>2023</v>
      </c>
      <c r="F190" t="s">
        <v>13</v>
      </c>
      <c r="G190" s="5">
        <v>542.71284491999995</v>
      </c>
      <c r="H190" s="10">
        <v>5</v>
      </c>
      <c r="I190" s="2">
        <v>136.672018659645</v>
      </c>
      <c r="J190" t="s">
        <v>10</v>
      </c>
    </row>
    <row r="191" spans="1:10" x14ac:dyDescent="0.25">
      <c r="A191" t="s">
        <v>52</v>
      </c>
      <c r="B191" s="1">
        <f t="shared" si="8"/>
        <v>44964</v>
      </c>
      <c r="C191" s="1" t="str">
        <f t="shared" si="9"/>
        <v>Tuesday</v>
      </c>
      <c r="D191" s="1" t="str">
        <f t="shared" si="10"/>
        <v>February</v>
      </c>
      <c r="E191" s="1" t="str">
        <f t="shared" si="11"/>
        <v>2023</v>
      </c>
      <c r="F191" t="s">
        <v>16</v>
      </c>
      <c r="G191" s="5">
        <v>1239.3289437359001</v>
      </c>
      <c r="H191" s="10">
        <v>4</v>
      </c>
      <c r="I191" s="2">
        <v>243.14565994566999</v>
      </c>
      <c r="J191" t="s">
        <v>10</v>
      </c>
    </row>
    <row r="192" spans="1:10" x14ac:dyDescent="0.25">
      <c r="A192" t="s">
        <v>53</v>
      </c>
      <c r="B192" s="1">
        <f t="shared" si="8"/>
        <v>44965</v>
      </c>
      <c r="C192" s="1" t="str">
        <f t="shared" si="9"/>
        <v>Wednesday</v>
      </c>
      <c r="D192" s="1" t="str">
        <f t="shared" si="10"/>
        <v>February</v>
      </c>
      <c r="E192" s="1" t="str">
        <f t="shared" si="11"/>
        <v>2023</v>
      </c>
      <c r="F192" t="s">
        <v>7</v>
      </c>
      <c r="G192" s="5">
        <v>955.43457849788501</v>
      </c>
      <c r="H192" s="10">
        <v>10</v>
      </c>
      <c r="I192" s="2">
        <v>252.78977447474799</v>
      </c>
      <c r="J192" t="s">
        <v>12</v>
      </c>
    </row>
    <row r="193" spans="1:10" x14ac:dyDescent="0.25">
      <c r="A193" t="s">
        <v>53</v>
      </c>
      <c r="B193" s="1">
        <f t="shared" si="8"/>
        <v>44965</v>
      </c>
      <c r="C193" s="1" t="str">
        <f t="shared" si="9"/>
        <v>Wednesday</v>
      </c>
      <c r="D193" s="1" t="str">
        <f t="shared" si="10"/>
        <v>February</v>
      </c>
      <c r="E193" s="1" t="str">
        <f t="shared" si="11"/>
        <v>2023</v>
      </c>
      <c r="F193" t="s">
        <v>9</v>
      </c>
      <c r="G193" s="5">
        <v>877.76195879420004</v>
      </c>
      <c r="H193" s="10">
        <v>12</v>
      </c>
      <c r="I193" s="2">
        <v>140.89759359484501</v>
      </c>
      <c r="J193" t="s">
        <v>14</v>
      </c>
    </row>
    <row r="194" spans="1:10" x14ac:dyDescent="0.25">
      <c r="A194" t="s">
        <v>53</v>
      </c>
      <c r="B194" s="1">
        <f t="shared" si="8"/>
        <v>44965</v>
      </c>
      <c r="C194" s="1" t="str">
        <f t="shared" si="9"/>
        <v>Wednesday</v>
      </c>
      <c r="D194" s="1" t="str">
        <f t="shared" si="10"/>
        <v>February</v>
      </c>
      <c r="E194" s="1" t="str">
        <f t="shared" si="11"/>
        <v>2023</v>
      </c>
      <c r="F194" t="s">
        <v>11</v>
      </c>
      <c r="G194" s="5">
        <v>819.49396331840001</v>
      </c>
      <c r="H194" s="10">
        <v>5</v>
      </c>
      <c r="I194" s="2">
        <v>82.607340568891502</v>
      </c>
      <c r="J194" t="s">
        <v>8</v>
      </c>
    </row>
    <row r="195" spans="1:10" x14ac:dyDescent="0.25">
      <c r="A195" t="s">
        <v>53</v>
      </c>
      <c r="B195" s="1">
        <f t="shared" ref="B195:B258" si="12">DATE(VALUE(RIGHT(A195,4)),VALUE(LEFT(A195,FIND("/",A195)-1)),VALUE(MID(A195,FIND("/",A195)+1,FIND("/",A195,FIND("/",A195)+1)-FIND("/",A195)-1)))</f>
        <v>44965</v>
      </c>
      <c r="C195" s="1" t="str">
        <f t="shared" ref="C195:C258" si="13">TEXT(B195,"DDDD")</f>
        <v>Wednesday</v>
      </c>
      <c r="D195" s="1" t="str">
        <f t="shared" ref="D195:D258" si="14">TEXT(B195,"MMMM")</f>
        <v>February</v>
      </c>
      <c r="E195" s="1" t="str">
        <f t="shared" ref="E195:E258" si="15">TEXT(B195,"YYYY")</f>
        <v>2023</v>
      </c>
      <c r="F195" t="s">
        <v>13</v>
      </c>
      <c r="G195" s="5">
        <v>1228.7532839600001</v>
      </c>
      <c r="H195" s="10">
        <v>11</v>
      </c>
      <c r="I195" s="2">
        <v>297.13265416110198</v>
      </c>
      <c r="J195" t="s">
        <v>12</v>
      </c>
    </row>
    <row r="196" spans="1:10" x14ac:dyDescent="0.25">
      <c r="A196" t="s">
        <v>53</v>
      </c>
      <c r="B196" s="1">
        <f t="shared" si="12"/>
        <v>44965</v>
      </c>
      <c r="C196" s="1" t="str">
        <f t="shared" si="13"/>
        <v>Wednesday</v>
      </c>
      <c r="D196" s="1" t="str">
        <f t="shared" si="14"/>
        <v>February</v>
      </c>
      <c r="E196" s="1" t="str">
        <f t="shared" si="15"/>
        <v>2023</v>
      </c>
      <c r="F196" t="s">
        <v>16</v>
      </c>
      <c r="G196" s="5">
        <v>468.92743497432002</v>
      </c>
      <c r="H196" s="10">
        <v>17</v>
      </c>
      <c r="I196" s="2">
        <v>166.57143814402201</v>
      </c>
      <c r="J196" t="s">
        <v>14</v>
      </c>
    </row>
    <row r="197" spans="1:10" x14ac:dyDescent="0.25">
      <c r="A197" t="s">
        <v>54</v>
      </c>
      <c r="B197" s="1">
        <f t="shared" si="12"/>
        <v>44966</v>
      </c>
      <c r="C197" s="1" t="str">
        <f t="shared" si="13"/>
        <v>Thursday</v>
      </c>
      <c r="D197" s="1" t="str">
        <f t="shared" si="14"/>
        <v>February</v>
      </c>
      <c r="E197" s="1" t="str">
        <f t="shared" si="15"/>
        <v>2023</v>
      </c>
      <c r="F197" t="s">
        <v>7</v>
      </c>
      <c r="G197" s="5">
        <v>69.211279289711001</v>
      </c>
      <c r="H197" s="10">
        <v>12</v>
      </c>
      <c r="I197" s="2">
        <v>153.610308003135</v>
      </c>
      <c r="J197" t="s">
        <v>8</v>
      </c>
    </row>
    <row r="198" spans="1:10" x14ac:dyDescent="0.25">
      <c r="A198" t="s">
        <v>54</v>
      </c>
      <c r="B198" s="1">
        <f t="shared" si="12"/>
        <v>44966</v>
      </c>
      <c r="C198" s="1" t="str">
        <f t="shared" si="13"/>
        <v>Thursday</v>
      </c>
      <c r="D198" s="1" t="str">
        <f t="shared" si="14"/>
        <v>February</v>
      </c>
      <c r="E198" s="1" t="str">
        <f t="shared" si="15"/>
        <v>2023</v>
      </c>
      <c r="F198" t="s">
        <v>9</v>
      </c>
      <c r="G198" s="5">
        <v>15.91878531711</v>
      </c>
      <c r="H198" s="10">
        <v>12</v>
      </c>
      <c r="I198" s="2">
        <v>224.65341169201599</v>
      </c>
      <c r="J198" t="s">
        <v>8</v>
      </c>
    </row>
    <row r="199" spans="1:10" x14ac:dyDescent="0.25">
      <c r="A199" t="s">
        <v>54</v>
      </c>
      <c r="B199" s="1">
        <f t="shared" si="12"/>
        <v>44966</v>
      </c>
      <c r="C199" s="1" t="str">
        <f t="shared" si="13"/>
        <v>Thursday</v>
      </c>
      <c r="D199" s="1" t="str">
        <f t="shared" si="14"/>
        <v>February</v>
      </c>
      <c r="E199" s="1" t="str">
        <f t="shared" si="15"/>
        <v>2023</v>
      </c>
      <c r="F199" t="s">
        <v>11</v>
      </c>
      <c r="G199" s="5">
        <v>126.81817574369001</v>
      </c>
      <c r="H199" s="10">
        <v>8</v>
      </c>
      <c r="I199" s="2">
        <v>324.96635373397999</v>
      </c>
      <c r="J199" t="s">
        <v>14</v>
      </c>
    </row>
    <row r="200" spans="1:10" x14ac:dyDescent="0.25">
      <c r="A200" t="s">
        <v>54</v>
      </c>
      <c r="B200" s="1">
        <f t="shared" si="12"/>
        <v>44966</v>
      </c>
      <c r="C200" s="1" t="str">
        <f t="shared" si="13"/>
        <v>Thursday</v>
      </c>
      <c r="D200" s="1" t="str">
        <f t="shared" si="14"/>
        <v>February</v>
      </c>
      <c r="E200" s="1" t="str">
        <f t="shared" si="15"/>
        <v>2023</v>
      </c>
      <c r="F200" t="s">
        <v>13</v>
      </c>
      <c r="G200" s="5">
        <v>964.447241932</v>
      </c>
      <c r="H200" s="10">
        <v>9</v>
      </c>
      <c r="I200" s="2">
        <v>313.45969873843597</v>
      </c>
      <c r="J200" t="s">
        <v>14</v>
      </c>
    </row>
    <row r="201" spans="1:10" x14ac:dyDescent="0.25">
      <c r="A201" t="s">
        <v>54</v>
      </c>
      <c r="B201" s="1">
        <f t="shared" si="12"/>
        <v>44966</v>
      </c>
      <c r="C201" s="1" t="str">
        <f t="shared" si="13"/>
        <v>Thursday</v>
      </c>
      <c r="D201" s="1" t="str">
        <f t="shared" si="14"/>
        <v>February</v>
      </c>
      <c r="E201" s="1" t="str">
        <f t="shared" si="15"/>
        <v>2023</v>
      </c>
      <c r="F201" t="s">
        <v>16</v>
      </c>
      <c r="G201" s="5">
        <v>134.1188386389</v>
      </c>
      <c r="H201" s="10">
        <v>3</v>
      </c>
      <c r="I201" s="2">
        <v>154.37299063340001</v>
      </c>
      <c r="J201" t="s">
        <v>8</v>
      </c>
    </row>
    <row r="202" spans="1:10" x14ac:dyDescent="0.25">
      <c r="A202" t="s">
        <v>55</v>
      </c>
      <c r="B202" s="1">
        <f t="shared" si="12"/>
        <v>44967</v>
      </c>
      <c r="C202" s="1" t="str">
        <f t="shared" si="13"/>
        <v>Friday</v>
      </c>
      <c r="D202" s="1" t="str">
        <f t="shared" si="14"/>
        <v>February</v>
      </c>
      <c r="E202" s="1" t="str">
        <f t="shared" si="15"/>
        <v>2023</v>
      </c>
      <c r="F202" t="s">
        <v>7</v>
      </c>
      <c r="G202" s="5">
        <v>1196.1992137446</v>
      </c>
      <c r="H202" s="10">
        <v>4</v>
      </c>
      <c r="I202" s="2">
        <v>233.05521558658501</v>
      </c>
      <c r="J202" t="s">
        <v>12</v>
      </c>
    </row>
    <row r="203" spans="1:10" x14ac:dyDescent="0.25">
      <c r="A203" t="s">
        <v>55</v>
      </c>
      <c r="B203" s="1">
        <f t="shared" si="12"/>
        <v>44967</v>
      </c>
      <c r="C203" s="1" t="str">
        <f t="shared" si="13"/>
        <v>Friday</v>
      </c>
      <c r="D203" s="1" t="str">
        <f t="shared" si="14"/>
        <v>February</v>
      </c>
      <c r="E203" s="1" t="str">
        <f t="shared" si="15"/>
        <v>2023</v>
      </c>
      <c r="F203" t="s">
        <v>9</v>
      </c>
      <c r="G203" s="5">
        <v>612.66268331538799</v>
      </c>
      <c r="H203" s="10">
        <v>18</v>
      </c>
      <c r="I203" s="2">
        <v>211.356269465688</v>
      </c>
      <c r="J203" t="s">
        <v>10</v>
      </c>
    </row>
    <row r="204" spans="1:10" x14ac:dyDescent="0.25">
      <c r="A204" t="s">
        <v>55</v>
      </c>
      <c r="B204" s="1">
        <f t="shared" si="12"/>
        <v>44967</v>
      </c>
      <c r="C204" s="1" t="str">
        <f t="shared" si="13"/>
        <v>Friday</v>
      </c>
      <c r="D204" s="1" t="str">
        <f t="shared" si="14"/>
        <v>February</v>
      </c>
      <c r="E204" s="1" t="str">
        <f t="shared" si="15"/>
        <v>2023</v>
      </c>
      <c r="F204" t="s">
        <v>11</v>
      </c>
      <c r="G204" s="5">
        <v>1165.7599457423</v>
      </c>
      <c r="H204" s="10">
        <v>6</v>
      </c>
      <c r="I204" s="2">
        <v>305.35253699935498</v>
      </c>
      <c r="J204" t="s">
        <v>10</v>
      </c>
    </row>
    <row r="205" spans="1:10" x14ac:dyDescent="0.25">
      <c r="A205" t="s">
        <v>55</v>
      </c>
      <c r="B205" s="1">
        <f t="shared" si="12"/>
        <v>44967</v>
      </c>
      <c r="C205" s="1" t="str">
        <f t="shared" si="13"/>
        <v>Friday</v>
      </c>
      <c r="D205" s="1" t="str">
        <f t="shared" si="14"/>
        <v>February</v>
      </c>
      <c r="E205" s="1" t="str">
        <f t="shared" si="15"/>
        <v>2023</v>
      </c>
      <c r="F205" t="s">
        <v>13</v>
      </c>
      <c r="G205" s="5">
        <v>188.66513529374001</v>
      </c>
      <c r="H205" s="10">
        <v>15</v>
      </c>
      <c r="I205" s="2">
        <v>297.47326430326399</v>
      </c>
      <c r="J205" t="s">
        <v>8</v>
      </c>
    </row>
    <row r="206" spans="1:10" x14ac:dyDescent="0.25">
      <c r="A206" t="s">
        <v>55</v>
      </c>
      <c r="B206" s="1">
        <f t="shared" si="12"/>
        <v>44967</v>
      </c>
      <c r="C206" s="1" t="str">
        <f t="shared" si="13"/>
        <v>Friday</v>
      </c>
      <c r="D206" s="1" t="str">
        <f t="shared" si="14"/>
        <v>February</v>
      </c>
      <c r="E206" s="1" t="str">
        <f t="shared" si="15"/>
        <v>2023</v>
      </c>
      <c r="F206" t="s">
        <v>16</v>
      </c>
      <c r="G206" s="5">
        <v>928.24641994900003</v>
      </c>
      <c r="H206" s="10">
        <v>14</v>
      </c>
      <c r="I206" s="2">
        <v>111.376325397302</v>
      </c>
      <c r="J206" t="s">
        <v>14</v>
      </c>
    </row>
    <row r="207" spans="1:10" x14ac:dyDescent="0.25">
      <c r="A207" t="s">
        <v>56</v>
      </c>
      <c r="B207" s="1">
        <f t="shared" si="12"/>
        <v>44968</v>
      </c>
      <c r="C207" s="1" t="str">
        <f t="shared" si="13"/>
        <v>Saturday</v>
      </c>
      <c r="D207" s="1" t="str">
        <f t="shared" si="14"/>
        <v>February</v>
      </c>
      <c r="E207" s="1" t="str">
        <f t="shared" si="15"/>
        <v>2023</v>
      </c>
      <c r="F207" t="s">
        <v>7</v>
      </c>
      <c r="G207" s="5">
        <v>1246.9314927235</v>
      </c>
      <c r="H207" s="10">
        <v>19</v>
      </c>
      <c r="I207" s="2">
        <v>327.76191963448002</v>
      </c>
      <c r="J207" t="s">
        <v>12</v>
      </c>
    </row>
    <row r="208" spans="1:10" x14ac:dyDescent="0.25">
      <c r="A208" t="s">
        <v>56</v>
      </c>
      <c r="B208" s="1">
        <f t="shared" si="12"/>
        <v>44968</v>
      </c>
      <c r="C208" s="1" t="str">
        <f t="shared" si="13"/>
        <v>Saturday</v>
      </c>
      <c r="D208" s="1" t="str">
        <f t="shared" si="14"/>
        <v>February</v>
      </c>
      <c r="E208" s="1" t="str">
        <f t="shared" si="15"/>
        <v>2023</v>
      </c>
      <c r="F208" t="s">
        <v>9</v>
      </c>
      <c r="G208" s="5">
        <v>149.55831436170001</v>
      </c>
      <c r="H208" s="10">
        <v>8</v>
      </c>
      <c r="I208" s="2">
        <v>323.38495613665401</v>
      </c>
      <c r="J208" t="s">
        <v>14</v>
      </c>
    </row>
    <row r="209" spans="1:10" x14ac:dyDescent="0.25">
      <c r="A209" t="s">
        <v>56</v>
      </c>
      <c r="B209" s="1">
        <f t="shared" si="12"/>
        <v>44968</v>
      </c>
      <c r="C209" s="1" t="str">
        <f t="shared" si="13"/>
        <v>Saturday</v>
      </c>
      <c r="D209" s="1" t="str">
        <f t="shared" si="14"/>
        <v>February</v>
      </c>
      <c r="E209" s="1" t="str">
        <f t="shared" si="15"/>
        <v>2023</v>
      </c>
      <c r="F209" t="s">
        <v>11</v>
      </c>
      <c r="G209" s="5">
        <v>117.68123489</v>
      </c>
      <c r="H209" s="10">
        <v>15</v>
      </c>
      <c r="I209" s="2">
        <v>425.64642427546897</v>
      </c>
      <c r="J209" t="s">
        <v>8</v>
      </c>
    </row>
    <row r="210" spans="1:10" x14ac:dyDescent="0.25">
      <c r="A210" t="s">
        <v>56</v>
      </c>
      <c r="B210" s="1">
        <f t="shared" si="12"/>
        <v>44968</v>
      </c>
      <c r="C210" s="1" t="str">
        <f t="shared" si="13"/>
        <v>Saturday</v>
      </c>
      <c r="D210" s="1" t="str">
        <f t="shared" si="14"/>
        <v>February</v>
      </c>
      <c r="E210" s="1" t="str">
        <f t="shared" si="15"/>
        <v>2023</v>
      </c>
      <c r="F210" t="s">
        <v>13</v>
      </c>
      <c r="G210" s="5">
        <v>1289.7766238787001</v>
      </c>
      <c r="H210" s="10">
        <v>4</v>
      </c>
      <c r="I210" s="2">
        <v>515.01783795690596</v>
      </c>
      <c r="J210" t="s">
        <v>8</v>
      </c>
    </row>
    <row r="211" spans="1:10" x14ac:dyDescent="0.25">
      <c r="A211" t="s">
        <v>56</v>
      </c>
      <c r="B211" s="1">
        <f t="shared" si="12"/>
        <v>44968</v>
      </c>
      <c r="C211" s="1" t="str">
        <f t="shared" si="13"/>
        <v>Saturday</v>
      </c>
      <c r="D211" s="1" t="str">
        <f t="shared" si="14"/>
        <v>February</v>
      </c>
      <c r="E211" s="1" t="str">
        <f t="shared" si="15"/>
        <v>2023</v>
      </c>
      <c r="F211" t="s">
        <v>16</v>
      </c>
      <c r="G211" s="5">
        <v>124.61646134583</v>
      </c>
      <c r="H211" s="10">
        <v>1</v>
      </c>
      <c r="I211" s="2">
        <v>319.77679166655997</v>
      </c>
      <c r="J211" t="s">
        <v>10</v>
      </c>
    </row>
    <row r="212" spans="1:10" x14ac:dyDescent="0.25">
      <c r="A212" t="s">
        <v>57</v>
      </c>
      <c r="B212" s="1">
        <f t="shared" si="12"/>
        <v>44969</v>
      </c>
      <c r="C212" s="1" t="str">
        <f t="shared" si="13"/>
        <v>Sunday</v>
      </c>
      <c r="D212" s="1" t="str">
        <f t="shared" si="14"/>
        <v>February</v>
      </c>
      <c r="E212" s="1" t="str">
        <f t="shared" si="15"/>
        <v>2023</v>
      </c>
      <c r="F212" t="s">
        <v>7</v>
      </c>
      <c r="G212" s="5">
        <v>1452.9313937378799</v>
      </c>
      <c r="H212" s="10">
        <v>10</v>
      </c>
      <c r="I212" s="2">
        <v>294.39953295401699</v>
      </c>
      <c r="J212" t="s">
        <v>12</v>
      </c>
    </row>
    <row r="213" spans="1:10" x14ac:dyDescent="0.25">
      <c r="A213" t="s">
        <v>57</v>
      </c>
      <c r="B213" s="1">
        <f t="shared" si="12"/>
        <v>44969</v>
      </c>
      <c r="C213" s="1" t="str">
        <f t="shared" si="13"/>
        <v>Sunday</v>
      </c>
      <c r="D213" s="1" t="str">
        <f t="shared" si="14"/>
        <v>February</v>
      </c>
      <c r="E213" s="1" t="str">
        <f t="shared" si="15"/>
        <v>2023</v>
      </c>
      <c r="F213" t="s">
        <v>9</v>
      </c>
      <c r="G213" s="5">
        <v>112.61344147</v>
      </c>
      <c r="H213" s="10">
        <v>13</v>
      </c>
      <c r="I213" s="2">
        <v>149.25355504388199</v>
      </c>
      <c r="J213" t="s">
        <v>14</v>
      </c>
    </row>
    <row r="214" spans="1:10" x14ac:dyDescent="0.25">
      <c r="A214" t="s">
        <v>57</v>
      </c>
      <c r="B214" s="1">
        <f t="shared" si="12"/>
        <v>44969</v>
      </c>
      <c r="C214" s="1" t="str">
        <f t="shared" si="13"/>
        <v>Sunday</v>
      </c>
      <c r="D214" s="1" t="str">
        <f t="shared" si="14"/>
        <v>February</v>
      </c>
      <c r="E214" s="1" t="str">
        <f t="shared" si="15"/>
        <v>2023</v>
      </c>
      <c r="F214" t="s">
        <v>11</v>
      </c>
      <c r="G214" s="5">
        <v>1677.1594843279399</v>
      </c>
      <c r="H214" s="10">
        <v>15</v>
      </c>
      <c r="I214" s="2">
        <v>568.87339379116202</v>
      </c>
      <c r="J214" t="s">
        <v>8</v>
      </c>
    </row>
    <row r="215" spans="1:10" x14ac:dyDescent="0.25">
      <c r="A215" t="s">
        <v>57</v>
      </c>
      <c r="B215" s="1">
        <f t="shared" si="12"/>
        <v>44969</v>
      </c>
      <c r="C215" s="1" t="str">
        <f t="shared" si="13"/>
        <v>Sunday</v>
      </c>
      <c r="D215" s="1" t="str">
        <f t="shared" si="14"/>
        <v>February</v>
      </c>
      <c r="E215" s="1" t="str">
        <f t="shared" si="15"/>
        <v>2023</v>
      </c>
      <c r="F215" t="s">
        <v>13</v>
      </c>
      <c r="G215" s="5">
        <v>719.98567221122005</v>
      </c>
      <c r="H215" s="10">
        <v>15</v>
      </c>
      <c r="I215" s="2">
        <v>160.31395740009501</v>
      </c>
      <c r="J215" t="s">
        <v>8</v>
      </c>
    </row>
    <row r="216" spans="1:10" x14ac:dyDescent="0.25">
      <c r="A216" t="s">
        <v>57</v>
      </c>
      <c r="B216" s="1">
        <f t="shared" si="12"/>
        <v>44969</v>
      </c>
      <c r="C216" s="1" t="str">
        <f t="shared" si="13"/>
        <v>Sunday</v>
      </c>
      <c r="D216" s="1" t="str">
        <f t="shared" si="14"/>
        <v>February</v>
      </c>
      <c r="E216" s="1" t="str">
        <f t="shared" si="15"/>
        <v>2023</v>
      </c>
      <c r="F216" t="s">
        <v>16</v>
      </c>
      <c r="G216" s="5">
        <v>126.8817763169</v>
      </c>
      <c r="H216" s="10">
        <v>19</v>
      </c>
      <c r="I216" s="2">
        <v>339.99992840317202</v>
      </c>
      <c r="J216" t="s">
        <v>12</v>
      </c>
    </row>
    <row r="217" spans="1:10" x14ac:dyDescent="0.25">
      <c r="A217" t="s">
        <v>58</v>
      </c>
      <c r="B217" s="1">
        <f t="shared" si="12"/>
        <v>44970</v>
      </c>
      <c r="C217" s="1" t="str">
        <f t="shared" si="13"/>
        <v>Monday</v>
      </c>
      <c r="D217" s="1" t="str">
        <f t="shared" si="14"/>
        <v>February</v>
      </c>
      <c r="E217" s="1" t="str">
        <f t="shared" si="15"/>
        <v>2023</v>
      </c>
      <c r="F217" t="s">
        <v>7</v>
      </c>
      <c r="G217" s="5">
        <v>146.69135764148001</v>
      </c>
      <c r="H217" s="10">
        <v>11</v>
      </c>
      <c r="I217" s="2">
        <v>393.46396488586799</v>
      </c>
      <c r="J217" t="s">
        <v>14</v>
      </c>
    </row>
    <row r="218" spans="1:10" x14ac:dyDescent="0.25">
      <c r="A218" t="s">
        <v>58</v>
      </c>
      <c r="B218" s="1">
        <f t="shared" si="12"/>
        <v>44970</v>
      </c>
      <c r="C218" s="1" t="str">
        <f t="shared" si="13"/>
        <v>Monday</v>
      </c>
      <c r="D218" s="1" t="str">
        <f t="shared" si="14"/>
        <v>February</v>
      </c>
      <c r="E218" s="1" t="str">
        <f t="shared" si="15"/>
        <v>2023</v>
      </c>
      <c r="F218" t="s">
        <v>9</v>
      </c>
      <c r="G218" s="5">
        <v>466.38392532871597</v>
      </c>
      <c r="H218" s="10">
        <v>15</v>
      </c>
      <c r="I218" s="2">
        <v>86.924115957973896</v>
      </c>
      <c r="J218" t="s">
        <v>10</v>
      </c>
    </row>
    <row r="219" spans="1:10" x14ac:dyDescent="0.25">
      <c r="A219" t="s">
        <v>58</v>
      </c>
      <c r="B219" s="1">
        <f t="shared" si="12"/>
        <v>44970</v>
      </c>
      <c r="C219" s="1" t="str">
        <f t="shared" si="13"/>
        <v>Monday</v>
      </c>
      <c r="D219" s="1" t="str">
        <f t="shared" si="14"/>
        <v>February</v>
      </c>
      <c r="E219" s="1" t="str">
        <f t="shared" si="15"/>
        <v>2023</v>
      </c>
      <c r="F219" t="s">
        <v>11</v>
      </c>
      <c r="G219" s="5">
        <v>1448.8132934467501</v>
      </c>
      <c r="H219" s="10">
        <v>12</v>
      </c>
      <c r="I219" s="2">
        <v>541.21249682261498</v>
      </c>
      <c r="J219" t="s">
        <v>14</v>
      </c>
    </row>
    <row r="220" spans="1:10" x14ac:dyDescent="0.25">
      <c r="A220" t="s">
        <v>58</v>
      </c>
      <c r="B220" s="1">
        <f t="shared" si="12"/>
        <v>44970</v>
      </c>
      <c r="C220" s="1" t="str">
        <f t="shared" si="13"/>
        <v>Monday</v>
      </c>
      <c r="D220" s="1" t="str">
        <f t="shared" si="14"/>
        <v>February</v>
      </c>
      <c r="E220" s="1" t="str">
        <f t="shared" si="15"/>
        <v>2023</v>
      </c>
      <c r="F220" t="s">
        <v>13</v>
      </c>
      <c r="G220" s="5">
        <v>1733.7255938854</v>
      </c>
      <c r="H220" s="10">
        <v>15</v>
      </c>
      <c r="I220" s="2">
        <v>551.02770973750899</v>
      </c>
      <c r="J220" t="s">
        <v>10</v>
      </c>
    </row>
    <row r="221" spans="1:10" x14ac:dyDescent="0.25">
      <c r="A221" t="s">
        <v>58</v>
      </c>
      <c r="B221" s="1">
        <f t="shared" si="12"/>
        <v>44970</v>
      </c>
      <c r="C221" s="1" t="str">
        <f t="shared" si="13"/>
        <v>Monday</v>
      </c>
      <c r="D221" s="1" t="str">
        <f t="shared" si="14"/>
        <v>February</v>
      </c>
      <c r="E221" s="1" t="str">
        <f t="shared" si="15"/>
        <v>2023</v>
      </c>
      <c r="F221" t="s">
        <v>16</v>
      </c>
      <c r="G221" s="5">
        <v>138.76635459255999</v>
      </c>
      <c r="H221" s="10">
        <v>12</v>
      </c>
      <c r="I221" s="2">
        <v>135.72915844237801</v>
      </c>
      <c r="J221" t="s">
        <v>14</v>
      </c>
    </row>
    <row r="222" spans="1:10" x14ac:dyDescent="0.25">
      <c r="A222" t="s">
        <v>59</v>
      </c>
      <c r="B222" s="1">
        <f t="shared" si="12"/>
        <v>44971</v>
      </c>
      <c r="C222" s="1" t="str">
        <f t="shared" si="13"/>
        <v>Tuesday</v>
      </c>
      <c r="D222" s="1" t="str">
        <f t="shared" si="14"/>
        <v>February</v>
      </c>
      <c r="E222" s="1" t="str">
        <f t="shared" si="15"/>
        <v>2023</v>
      </c>
      <c r="F222" t="s">
        <v>7</v>
      </c>
      <c r="G222" s="5">
        <v>1144.327695211</v>
      </c>
      <c r="H222" s="10">
        <v>8</v>
      </c>
      <c r="I222" s="2">
        <v>338.03866799999997</v>
      </c>
      <c r="J222" t="s">
        <v>8</v>
      </c>
    </row>
    <row r="223" spans="1:10" x14ac:dyDescent="0.25">
      <c r="A223" t="s">
        <v>59</v>
      </c>
      <c r="B223" s="1">
        <f t="shared" si="12"/>
        <v>44971</v>
      </c>
      <c r="C223" s="1" t="str">
        <f t="shared" si="13"/>
        <v>Tuesday</v>
      </c>
      <c r="D223" s="1" t="str">
        <f t="shared" si="14"/>
        <v>February</v>
      </c>
      <c r="E223" s="1" t="str">
        <f t="shared" si="15"/>
        <v>2023</v>
      </c>
      <c r="F223" t="s">
        <v>9</v>
      </c>
      <c r="G223" s="5">
        <v>167.16527283729999</v>
      </c>
      <c r="H223" s="10">
        <v>9</v>
      </c>
      <c r="I223" s="2">
        <v>242.50176945511399</v>
      </c>
      <c r="J223" t="s">
        <v>8</v>
      </c>
    </row>
    <row r="224" spans="1:10" x14ac:dyDescent="0.25">
      <c r="A224" t="s">
        <v>59</v>
      </c>
      <c r="B224" s="1">
        <f t="shared" si="12"/>
        <v>44971</v>
      </c>
      <c r="C224" s="1" t="str">
        <f t="shared" si="13"/>
        <v>Tuesday</v>
      </c>
      <c r="D224" s="1" t="str">
        <f t="shared" si="14"/>
        <v>February</v>
      </c>
      <c r="E224" s="1" t="str">
        <f t="shared" si="15"/>
        <v>2023</v>
      </c>
      <c r="F224" t="s">
        <v>11</v>
      </c>
      <c r="G224" s="5">
        <v>811.77433468675599</v>
      </c>
      <c r="H224" s="10">
        <v>4</v>
      </c>
      <c r="I224" s="2">
        <v>111.53682299689</v>
      </c>
      <c r="J224" t="s">
        <v>8</v>
      </c>
    </row>
    <row r="225" spans="1:10" x14ac:dyDescent="0.25">
      <c r="A225" t="s">
        <v>59</v>
      </c>
      <c r="B225" s="1">
        <f t="shared" si="12"/>
        <v>44971</v>
      </c>
      <c r="C225" s="1" t="str">
        <f t="shared" si="13"/>
        <v>Tuesday</v>
      </c>
      <c r="D225" s="1" t="str">
        <f t="shared" si="14"/>
        <v>February</v>
      </c>
      <c r="E225" s="1" t="str">
        <f t="shared" si="15"/>
        <v>2023</v>
      </c>
      <c r="F225" t="s">
        <v>13</v>
      </c>
      <c r="G225" s="5">
        <v>851.3832271</v>
      </c>
      <c r="H225" s="10">
        <v>1</v>
      </c>
      <c r="I225" s="2">
        <v>307.32287430994597</v>
      </c>
      <c r="J225" t="s">
        <v>10</v>
      </c>
    </row>
    <row r="226" spans="1:10" x14ac:dyDescent="0.25">
      <c r="A226" t="s">
        <v>59</v>
      </c>
      <c r="B226" s="1">
        <f t="shared" si="12"/>
        <v>44971</v>
      </c>
      <c r="C226" s="1" t="str">
        <f t="shared" si="13"/>
        <v>Tuesday</v>
      </c>
      <c r="D226" s="1" t="str">
        <f t="shared" si="14"/>
        <v>February</v>
      </c>
      <c r="E226" s="1" t="str">
        <f t="shared" si="15"/>
        <v>2023</v>
      </c>
      <c r="F226" t="s">
        <v>16</v>
      </c>
      <c r="G226" s="5">
        <v>1161.3297875228</v>
      </c>
      <c r="H226" s="10">
        <v>15</v>
      </c>
      <c r="I226" s="2">
        <v>135.21187546547301</v>
      </c>
      <c r="J226" t="s">
        <v>8</v>
      </c>
    </row>
    <row r="227" spans="1:10" x14ac:dyDescent="0.25">
      <c r="A227" t="s">
        <v>60</v>
      </c>
      <c r="B227" s="1">
        <f t="shared" si="12"/>
        <v>44972</v>
      </c>
      <c r="C227" s="1" t="str">
        <f t="shared" si="13"/>
        <v>Wednesday</v>
      </c>
      <c r="D227" s="1" t="str">
        <f t="shared" si="14"/>
        <v>February</v>
      </c>
      <c r="E227" s="1" t="str">
        <f t="shared" si="15"/>
        <v>2023</v>
      </c>
      <c r="F227" t="s">
        <v>7</v>
      </c>
      <c r="G227" s="5">
        <v>592.38654559999998</v>
      </c>
      <c r="H227" s="10">
        <v>10</v>
      </c>
      <c r="I227" s="2">
        <v>201.918528882103</v>
      </c>
      <c r="J227" t="s">
        <v>8</v>
      </c>
    </row>
    <row r="228" spans="1:10" x14ac:dyDescent="0.25">
      <c r="A228" t="s">
        <v>60</v>
      </c>
      <c r="B228" s="1">
        <f t="shared" si="12"/>
        <v>44972</v>
      </c>
      <c r="C228" s="1" t="str">
        <f t="shared" si="13"/>
        <v>Wednesday</v>
      </c>
      <c r="D228" s="1" t="str">
        <f t="shared" si="14"/>
        <v>February</v>
      </c>
      <c r="E228" s="1" t="str">
        <f t="shared" si="15"/>
        <v>2023</v>
      </c>
      <c r="F228" t="s">
        <v>9</v>
      </c>
      <c r="G228" s="5">
        <v>792.354336376932</v>
      </c>
      <c r="H228" s="10">
        <v>11</v>
      </c>
      <c r="I228" s="2">
        <v>273.405002478683</v>
      </c>
      <c r="J228" t="s">
        <v>10</v>
      </c>
    </row>
    <row r="229" spans="1:10" x14ac:dyDescent="0.25">
      <c r="A229" t="s">
        <v>60</v>
      </c>
      <c r="B229" s="1">
        <f t="shared" si="12"/>
        <v>44972</v>
      </c>
      <c r="C229" s="1" t="str">
        <f t="shared" si="13"/>
        <v>Wednesday</v>
      </c>
      <c r="D229" s="1" t="str">
        <f t="shared" si="14"/>
        <v>February</v>
      </c>
      <c r="E229" s="1" t="str">
        <f t="shared" si="15"/>
        <v>2023</v>
      </c>
      <c r="F229" t="s">
        <v>11</v>
      </c>
      <c r="G229" s="5">
        <v>173.831146875</v>
      </c>
      <c r="H229" s="10">
        <v>18</v>
      </c>
      <c r="I229" s="2">
        <v>262.28442150000001</v>
      </c>
      <c r="J229" t="s">
        <v>10</v>
      </c>
    </row>
    <row r="230" spans="1:10" x14ac:dyDescent="0.25">
      <c r="A230" t="s">
        <v>60</v>
      </c>
      <c r="B230" s="1">
        <f t="shared" si="12"/>
        <v>44972</v>
      </c>
      <c r="C230" s="1" t="str">
        <f t="shared" si="13"/>
        <v>Wednesday</v>
      </c>
      <c r="D230" s="1" t="str">
        <f t="shared" si="14"/>
        <v>February</v>
      </c>
      <c r="E230" s="1" t="str">
        <f t="shared" si="15"/>
        <v>2023</v>
      </c>
      <c r="F230" t="s">
        <v>13</v>
      </c>
      <c r="G230" s="5">
        <v>549.17494699999997</v>
      </c>
      <c r="H230" s="10">
        <v>12</v>
      </c>
      <c r="I230" s="2">
        <v>205.293571693991</v>
      </c>
      <c r="J230" t="s">
        <v>12</v>
      </c>
    </row>
    <row r="231" spans="1:10" x14ac:dyDescent="0.25">
      <c r="A231" t="s">
        <v>60</v>
      </c>
      <c r="B231" s="1">
        <f t="shared" si="12"/>
        <v>44972</v>
      </c>
      <c r="C231" s="1" t="str">
        <f t="shared" si="13"/>
        <v>Wednesday</v>
      </c>
      <c r="D231" s="1" t="str">
        <f t="shared" si="14"/>
        <v>February</v>
      </c>
      <c r="E231" s="1" t="str">
        <f t="shared" si="15"/>
        <v>2023</v>
      </c>
      <c r="F231" t="s">
        <v>16</v>
      </c>
      <c r="G231" s="5">
        <v>921.77945532453998</v>
      </c>
      <c r="H231" s="10">
        <v>7</v>
      </c>
      <c r="I231" s="2">
        <v>137.94797749161299</v>
      </c>
      <c r="J231" t="s">
        <v>8</v>
      </c>
    </row>
    <row r="232" spans="1:10" x14ac:dyDescent="0.25">
      <c r="A232" t="s">
        <v>61</v>
      </c>
      <c r="B232" s="1">
        <f t="shared" si="12"/>
        <v>44973</v>
      </c>
      <c r="C232" s="1" t="str">
        <f t="shared" si="13"/>
        <v>Thursday</v>
      </c>
      <c r="D232" s="1" t="str">
        <f t="shared" si="14"/>
        <v>February</v>
      </c>
      <c r="E232" s="1" t="str">
        <f t="shared" si="15"/>
        <v>2023</v>
      </c>
      <c r="F232" t="s">
        <v>7</v>
      </c>
      <c r="G232" s="5">
        <v>836.92212288292001</v>
      </c>
      <c r="H232" s="10">
        <v>11</v>
      </c>
      <c r="I232" s="2">
        <v>269.61020140274002</v>
      </c>
      <c r="J232" t="s">
        <v>14</v>
      </c>
    </row>
    <row r="233" spans="1:10" x14ac:dyDescent="0.25">
      <c r="A233" t="s">
        <v>61</v>
      </c>
      <c r="B233" s="1">
        <f t="shared" si="12"/>
        <v>44973</v>
      </c>
      <c r="C233" s="1" t="str">
        <f t="shared" si="13"/>
        <v>Thursday</v>
      </c>
      <c r="D233" s="1" t="str">
        <f t="shared" si="14"/>
        <v>February</v>
      </c>
      <c r="E233" s="1" t="str">
        <f t="shared" si="15"/>
        <v>2023</v>
      </c>
      <c r="F233" t="s">
        <v>9</v>
      </c>
      <c r="G233" s="5">
        <v>128.861994442</v>
      </c>
      <c r="H233" s="10">
        <v>18</v>
      </c>
      <c r="I233" s="2">
        <v>361.52370730147999</v>
      </c>
      <c r="J233" t="s">
        <v>10</v>
      </c>
    </row>
    <row r="234" spans="1:10" x14ac:dyDescent="0.25">
      <c r="A234" t="s">
        <v>61</v>
      </c>
      <c r="B234" s="1">
        <f t="shared" si="12"/>
        <v>44973</v>
      </c>
      <c r="C234" s="1" t="str">
        <f t="shared" si="13"/>
        <v>Thursday</v>
      </c>
      <c r="D234" s="1" t="str">
        <f t="shared" si="14"/>
        <v>February</v>
      </c>
      <c r="E234" s="1" t="str">
        <f t="shared" si="15"/>
        <v>2023</v>
      </c>
      <c r="F234" t="s">
        <v>11</v>
      </c>
      <c r="G234" s="5">
        <v>988.88922588426396</v>
      </c>
      <c r="H234" s="10">
        <v>8</v>
      </c>
      <c r="I234" s="2">
        <v>247.87349309124701</v>
      </c>
      <c r="J234" t="s">
        <v>8</v>
      </c>
    </row>
    <row r="235" spans="1:10" x14ac:dyDescent="0.25">
      <c r="A235" t="s">
        <v>61</v>
      </c>
      <c r="B235" s="1">
        <f t="shared" si="12"/>
        <v>44973</v>
      </c>
      <c r="C235" s="1" t="str">
        <f t="shared" si="13"/>
        <v>Thursday</v>
      </c>
      <c r="D235" s="1" t="str">
        <f t="shared" si="14"/>
        <v>February</v>
      </c>
      <c r="E235" s="1" t="str">
        <f t="shared" si="15"/>
        <v>2023</v>
      </c>
      <c r="F235" t="s">
        <v>13</v>
      </c>
      <c r="G235" s="5">
        <v>1128.8344736151</v>
      </c>
      <c r="H235" s="10">
        <v>13</v>
      </c>
      <c r="I235" s="2">
        <v>247.43536307760601</v>
      </c>
      <c r="J235" t="s">
        <v>10</v>
      </c>
    </row>
    <row r="236" spans="1:10" x14ac:dyDescent="0.25">
      <c r="A236" t="s">
        <v>61</v>
      </c>
      <c r="B236" s="1">
        <f t="shared" si="12"/>
        <v>44973</v>
      </c>
      <c r="C236" s="1" t="str">
        <f t="shared" si="13"/>
        <v>Thursday</v>
      </c>
      <c r="D236" s="1" t="str">
        <f t="shared" si="14"/>
        <v>February</v>
      </c>
      <c r="E236" s="1" t="str">
        <f t="shared" si="15"/>
        <v>2023</v>
      </c>
      <c r="F236" t="s">
        <v>16</v>
      </c>
      <c r="G236" s="5">
        <v>849.22161818129996</v>
      </c>
      <c r="H236" s="10">
        <v>17</v>
      </c>
      <c r="I236" s="2">
        <v>117.55903707652899</v>
      </c>
      <c r="J236" t="s">
        <v>12</v>
      </c>
    </row>
    <row r="237" spans="1:10" x14ac:dyDescent="0.25">
      <c r="A237" t="s">
        <v>62</v>
      </c>
      <c r="B237" s="1">
        <f t="shared" si="12"/>
        <v>44974</v>
      </c>
      <c r="C237" s="1" t="str">
        <f t="shared" si="13"/>
        <v>Friday</v>
      </c>
      <c r="D237" s="1" t="str">
        <f t="shared" si="14"/>
        <v>February</v>
      </c>
      <c r="E237" s="1" t="str">
        <f t="shared" si="15"/>
        <v>2023</v>
      </c>
      <c r="F237" t="s">
        <v>7</v>
      </c>
      <c r="G237" s="5">
        <v>956.69187642281702</v>
      </c>
      <c r="H237" s="10">
        <v>16</v>
      </c>
      <c r="I237" s="2">
        <v>257.78286474082199</v>
      </c>
      <c r="J237" t="s">
        <v>12</v>
      </c>
    </row>
    <row r="238" spans="1:10" x14ac:dyDescent="0.25">
      <c r="A238" t="s">
        <v>62</v>
      </c>
      <c r="B238" s="1">
        <f t="shared" si="12"/>
        <v>44974</v>
      </c>
      <c r="C238" s="1" t="str">
        <f t="shared" si="13"/>
        <v>Friday</v>
      </c>
      <c r="D238" s="1" t="str">
        <f t="shared" si="14"/>
        <v>February</v>
      </c>
      <c r="E238" s="1" t="str">
        <f t="shared" si="15"/>
        <v>2023</v>
      </c>
      <c r="F238" t="s">
        <v>9</v>
      </c>
      <c r="G238" s="5">
        <v>1311.9977319489401</v>
      </c>
      <c r="H238" s="10">
        <v>18</v>
      </c>
      <c r="I238" s="2">
        <v>337.59942640000003</v>
      </c>
      <c r="J238" t="s">
        <v>14</v>
      </c>
    </row>
    <row r="239" spans="1:10" x14ac:dyDescent="0.25">
      <c r="A239" t="s">
        <v>62</v>
      </c>
      <c r="B239" s="1">
        <f t="shared" si="12"/>
        <v>44974</v>
      </c>
      <c r="C239" s="1" t="str">
        <f t="shared" si="13"/>
        <v>Friday</v>
      </c>
      <c r="D239" s="1" t="str">
        <f t="shared" si="14"/>
        <v>February</v>
      </c>
      <c r="E239" s="1" t="str">
        <f t="shared" si="15"/>
        <v>2023</v>
      </c>
      <c r="F239" t="s">
        <v>11</v>
      </c>
      <c r="G239" s="5">
        <v>699.81391582811705</v>
      </c>
      <c r="H239" s="10">
        <v>17</v>
      </c>
      <c r="I239" s="2">
        <v>154.11926166793901</v>
      </c>
      <c r="J239" t="s">
        <v>12</v>
      </c>
    </row>
    <row r="240" spans="1:10" x14ac:dyDescent="0.25">
      <c r="A240" t="s">
        <v>62</v>
      </c>
      <c r="B240" s="1">
        <f t="shared" si="12"/>
        <v>44974</v>
      </c>
      <c r="C240" s="1" t="str">
        <f t="shared" si="13"/>
        <v>Friday</v>
      </c>
      <c r="D240" s="1" t="str">
        <f t="shared" si="14"/>
        <v>February</v>
      </c>
      <c r="E240" s="1" t="str">
        <f t="shared" si="15"/>
        <v>2023</v>
      </c>
      <c r="F240" t="s">
        <v>13</v>
      </c>
      <c r="G240" s="5">
        <v>893.43730000000005</v>
      </c>
      <c r="H240" s="10">
        <v>8</v>
      </c>
      <c r="I240" s="2">
        <v>320.18684303679902</v>
      </c>
      <c r="J240" t="s">
        <v>10</v>
      </c>
    </row>
    <row r="241" spans="1:10" x14ac:dyDescent="0.25">
      <c r="A241" t="s">
        <v>62</v>
      </c>
      <c r="B241" s="1">
        <f t="shared" si="12"/>
        <v>44974</v>
      </c>
      <c r="C241" s="1" t="str">
        <f t="shared" si="13"/>
        <v>Friday</v>
      </c>
      <c r="D241" s="1" t="str">
        <f t="shared" si="14"/>
        <v>February</v>
      </c>
      <c r="E241" s="1" t="str">
        <f t="shared" si="15"/>
        <v>2023</v>
      </c>
      <c r="F241" t="s">
        <v>16</v>
      </c>
      <c r="G241" s="5">
        <v>171.48887863643</v>
      </c>
      <c r="H241" s="10">
        <v>3</v>
      </c>
      <c r="I241" s="2">
        <v>227.14792206918099</v>
      </c>
      <c r="J241" t="s">
        <v>12</v>
      </c>
    </row>
    <row r="242" spans="1:10" x14ac:dyDescent="0.25">
      <c r="A242" t="s">
        <v>63</v>
      </c>
      <c r="B242" s="1">
        <f t="shared" si="12"/>
        <v>44975</v>
      </c>
      <c r="C242" s="1" t="str">
        <f t="shared" si="13"/>
        <v>Saturday</v>
      </c>
      <c r="D242" s="1" t="str">
        <f t="shared" si="14"/>
        <v>February</v>
      </c>
      <c r="E242" s="1" t="str">
        <f t="shared" si="15"/>
        <v>2023</v>
      </c>
      <c r="F242" t="s">
        <v>7</v>
      </c>
      <c r="G242" s="5">
        <v>119.899721156</v>
      </c>
      <c r="H242" s="10">
        <v>1</v>
      </c>
      <c r="I242" s="2">
        <v>109.67029135562299</v>
      </c>
      <c r="J242" t="s">
        <v>14</v>
      </c>
    </row>
    <row r="243" spans="1:10" x14ac:dyDescent="0.25">
      <c r="A243" t="s">
        <v>63</v>
      </c>
      <c r="B243" s="1">
        <f t="shared" si="12"/>
        <v>44975</v>
      </c>
      <c r="C243" s="1" t="str">
        <f t="shared" si="13"/>
        <v>Saturday</v>
      </c>
      <c r="D243" s="1" t="str">
        <f t="shared" si="14"/>
        <v>February</v>
      </c>
      <c r="E243" s="1" t="str">
        <f t="shared" si="15"/>
        <v>2023</v>
      </c>
      <c r="F243" t="s">
        <v>9</v>
      </c>
      <c r="G243" s="5">
        <v>1285.45421888288</v>
      </c>
      <c r="H243" s="10">
        <v>18</v>
      </c>
      <c r="I243" s="2">
        <v>462.88965785387302</v>
      </c>
      <c r="J243" t="s">
        <v>14</v>
      </c>
    </row>
    <row r="244" spans="1:10" x14ac:dyDescent="0.25">
      <c r="A244" t="s">
        <v>63</v>
      </c>
      <c r="B244" s="1">
        <f t="shared" si="12"/>
        <v>44975</v>
      </c>
      <c r="C244" s="1" t="str">
        <f t="shared" si="13"/>
        <v>Saturday</v>
      </c>
      <c r="D244" s="1" t="str">
        <f t="shared" si="14"/>
        <v>February</v>
      </c>
      <c r="E244" s="1" t="str">
        <f t="shared" si="15"/>
        <v>2023</v>
      </c>
      <c r="F244" t="s">
        <v>11</v>
      </c>
      <c r="G244" s="5">
        <v>1216.5161921296999</v>
      </c>
      <c r="H244" s="10">
        <v>8</v>
      </c>
      <c r="I244" s="2">
        <v>159.64463948875701</v>
      </c>
      <c r="J244" t="s">
        <v>10</v>
      </c>
    </row>
    <row r="245" spans="1:10" x14ac:dyDescent="0.25">
      <c r="A245" t="s">
        <v>63</v>
      </c>
      <c r="B245" s="1">
        <f t="shared" si="12"/>
        <v>44975</v>
      </c>
      <c r="C245" s="1" t="str">
        <f t="shared" si="13"/>
        <v>Saturday</v>
      </c>
      <c r="D245" s="1" t="str">
        <f t="shared" si="14"/>
        <v>February</v>
      </c>
      <c r="E245" s="1" t="str">
        <f t="shared" si="15"/>
        <v>2023</v>
      </c>
      <c r="F245" t="s">
        <v>13</v>
      </c>
      <c r="G245" s="5">
        <v>661.284468634831</v>
      </c>
      <c r="H245" s="10">
        <v>5</v>
      </c>
      <c r="I245" s="2">
        <v>101.549090455738</v>
      </c>
      <c r="J245" t="s">
        <v>8</v>
      </c>
    </row>
    <row r="246" spans="1:10" x14ac:dyDescent="0.25">
      <c r="A246" t="s">
        <v>63</v>
      </c>
      <c r="B246" s="1">
        <f t="shared" si="12"/>
        <v>44975</v>
      </c>
      <c r="C246" s="1" t="str">
        <f t="shared" si="13"/>
        <v>Saturday</v>
      </c>
      <c r="D246" s="1" t="str">
        <f t="shared" si="14"/>
        <v>February</v>
      </c>
      <c r="E246" s="1" t="str">
        <f t="shared" si="15"/>
        <v>2023</v>
      </c>
      <c r="F246" t="s">
        <v>16</v>
      </c>
      <c r="G246" s="5">
        <v>1514.99733293641</v>
      </c>
      <c r="H246" s="10">
        <v>3</v>
      </c>
      <c r="I246" s="2">
        <v>262.02129953618498</v>
      </c>
      <c r="J246" t="s">
        <v>12</v>
      </c>
    </row>
    <row r="247" spans="1:10" x14ac:dyDescent="0.25">
      <c r="A247" t="s">
        <v>64</v>
      </c>
      <c r="B247" s="1">
        <f t="shared" si="12"/>
        <v>44976</v>
      </c>
      <c r="C247" s="1" t="str">
        <f t="shared" si="13"/>
        <v>Sunday</v>
      </c>
      <c r="D247" s="1" t="str">
        <f t="shared" si="14"/>
        <v>February</v>
      </c>
      <c r="E247" s="1" t="str">
        <f t="shared" si="15"/>
        <v>2023</v>
      </c>
      <c r="F247" t="s">
        <v>7</v>
      </c>
      <c r="G247" s="5">
        <v>1132.2945455838001</v>
      </c>
      <c r="H247" s="10">
        <v>14</v>
      </c>
      <c r="I247" s="2">
        <v>395.244053806024</v>
      </c>
      <c r="J247" t="s">
        <v>14</v>
      </c>
    </row>
    <row r="248" spans="1:10" x14ac:dyDescent="0.25">
      <c r="A248" t="s">
        <v>64</v>
      </c>
      <c r="B248" s="1">
        <f t="shared" si="12"/>
        <v>44976</v>
      </c>
      <c r="C248" s="1" t="str">
        <f t="shared" si="13"/>
        <v>Sunday</v>
      </c>
      <c r="D248" s="1" t="str">
        <f t="shared" si="14"/>
        <v>February</v>
      </c>
      <c r="E248" s="1" t="str">
        <f t="shared" si="15"/>
        <v>2023</v>
      </c>
      <c r="F248" t="s">
        <v>9</v>
      </c>
      <c r="G248" s="5">
        <v>492.21475876300002</v>
      </c>
      <c r="H248" s="10">
        <v>18</v>
      </c>
      <c r="I248" s="2">
        <v>51.121177256106698</v>
      </c>
      <c r="J248" t="s">
        <v>10</v>
      </c>
    </row>
    <row r="249" spans="1:10" x14ac:dyDescent="0.25">
      <c r="A249" t="s">
        <v>64</v>
      </c>
      <c r="B249" s="1">
        <f t="shared" si="12"/>
        <v>44976</v>
      </c>
      <c r="C249" s="1" t="str">
        <f t="shared" si="13"/>
        <v>Sunday</v>
      </c>
      <c r="D249" s="1" t="str">
        <f t="shared" si="14"/>
        <v>February</v>
      </c>
      <c r="E249" s="1" t="str">
        <f t="shared" si="15"/>
        <v>2023</v>
      </c>
      <c r="F249" t="s">
        <v>11</v>
      </c>
      <c r="G249" s="5">
        <v>729.84134443855999</v>
      </c>
      <c r="H249" s="10">
        <v>1</v>
      </c>
      <c r="I249" s="2">
        <v>118.501133165827</v>
      </c>
      <c r="J249" t="s">
        <v>10</v>
      </c>
    </row>
    <row r="250" spans="1:10" x14ac:dyDescent="0.25">
      <c r="A250" t="s">
        <v>64</v>
      </c>
      <c r="B250" s="1">
        <f t="shared" si="12"/>
        <v>44976</v>
      </c>
      <c r="C250" s="1" t="str">
        <f t="shared" si="13"/>
        <v>Sunday</v>
      </c>
      <c r="D250" s="1" t="str">
        <f t="shared" si="14"/>
        <v>February</v>
      </c>
      <c r="E250" s="1" t="str">
        <f t="shared" si="15"/>
        <v>2023</v>
      </c>
      <c r="F250" t="s">
        <v>13</v>
      </c>
      <c r="G250" s="5">
        <v>141.21176416590001</v>
      </c>
      <c r="H250" s="10">
        <v>1</v>
      </c>
      <c r="I250" s="2">
        <v>486.85149717435502</v>
      </c>
      <c r="J250" t="s">
        <v>14</v>
      </c>
    </row>
    <row r="251" spans="1:10" x14ac:dyDescent="0.25">
      <c r="A251" t="s">
        <v>64</v>
      </c>
      <c r="B251" s="1">
        <f t="shared" si="12"/>
        <v>44976</v>
      </c>
      <c r="C251" s="1" t="str">
        <f t="shared" si="13"/>
        <v>Sunday</v>
      </c>
      <c r="D251" s="1" t="str">
        <f t="shared" si="14"/>
        <v>February</v>
      </c>
      <c r="E251" s="1" t="str">
        <f t="shared" si="15"/>
        <v>2023</v>
      </c>
      <c r="F251" t="s">
        <v>16</v>
      </c>
      <c r="G251" s="5">
        <v>1287.4761478457699</v>
      </c>
      <c r="H251" s="10">
        <v>11</v>
      </c>
      <c r="I251" s="2">
        <v>228.94805960509001</v>
      </c>
      <c r="J251" t="s">
        <v>12</v>
      </c>
    </row>
    <row r="252" spans="1:10" x14ac:dyDescent="0.25">
      <c r="A252" t="s">
        <v>65</v>
      </c>
      <c r="B252" s="1">
        <f t="shared" si="12"/>
        <v>44977</v>
      </c>
      <c r="C252" s="1" t="str">
        <f t="shared" si="13"/>
        <v>Monday</v>
      </c>
      <c r="D252" s="1" t="str">
        <f t="shared" si="14"/>
        <v>February</v>
      </c>
      <c r="E252" s="1" t="str">
        <f t="shared" si="15"/>
        <v>2023</v>
      </c>
      <c r="F252" t="s">
        <v>7</v>
      </c>
      <c r="G252" s="5">
        <v>91.275458999999998</v>
      </c>
      <c r="H252" s="10">
        <v>5</v>
      </c>
      <c r="I252" s="2">
        <v>183.446290883057</v>
      </c>
      <c r="J252" t="s">
        <v>14</v>
      </c>
    </row>
    <row r="253" spans="1:10" x14ac:dyDescent="0.25">
      <c r="A253" t="s">
        <v>65</v>
      </c>
      <c r="B253" s="1">
        <f t="shared" si="12"/>
        <v>44977</v>
      </c>
      <c r="C253" s="1" t="str">
        <f t="shared" si="13"/>
        <v>Monday</v>
      </c>
      <c r="D253" s="1" t="str">
        <f t="shared" si="14"/>
        <v>February</v>
      </c>
      <c r="E253" s="1" t="str">
        <f t="shared" si="15"/>
        <v>2023</v>
      </c>
      <c r="F253" t="s">
        <v>9</v>
      </c>
      <c r="G253" s="5">
        <v>97.952188781976005</v>
      </c>
      <c r="H253" s="10">
        <v>9</v>
      </c>
      <c r="I253" s="2">
        <v>224.13262129314401</v>
      </c>
      <c r="J253" t="s">
        <v>14</v>
      </c>
    </row>
    <row r="254" spans="1:10" x14ac:dyDescent="0.25">
      <c r="A254" t="s">
        <v>65</v>
      </c>
      <c r="B254" s="1">
        <f t="shared" si="12"/>
        <v>44977</v>
      </c>
      <c r="C254" s="1" t="str">
        <f t="shared" si="13"/>
        <v>Monday</v>
      </c>
      <c r="D254" s="1" t="str">
        <f t="shared" si="14"/>
        <v>February</v>
      </c>
      <c r="E254" s="1" t="str">
        <f t="shared" si="15"/>
        <v>2023</v>
      </c>
      <c r="F254" t="s">
        <v>11</v>
      </c>
      <c r="G254" s="5">
        <v>893.49317598200003</v>
      </c>
      <c r="H254" s="10">
        <v>14</v>
      </c>
      <c r="I254" s="2">
        <v>215.61675420579601</v>
      </c>
      <c r="J254" t="s">
        <v>14</v>
      </c>
    </row>
    <row r="255" spans="1:10" x14ac:dyDescent="0.25">
      <c r="A255" t="s">
        <v>65</v>
      </c>
      <c r="B255" s="1">
        <f t="shared" si="12"/>
        <v>44977</v>
      </c>
      <c r="C255" s="1" t="str">
        <f t="shared" si="13"/>
        <v>Monday</v>
      </c>
      <c r="D255" s="1" t="str">
        <f t="shared" si="14"/>
        <v>February</v>
      </c>
      <c r="E255" s="1" t="str">
        <f t="shared" si="15"/>
        <v>2023</v>
      </c>
      <c r="F255" t="s">
        <v>13</v>
      </c>
      <c r="G255" s="5">
        <v>177.2419737479</v>
      </c>
      <c r="H255" s="10">
        <v>17</v>
      </c>
      <c r="I255" s="2">
        <v>264.39127806471402</v>
      </c>
      <c r="J255" t="s">
        <v>8</v>
      </c>
    </row>
    <row r="256" spans="1:10" x14ac:dyDescent="0.25">
      <c r="A256" t="s">
        <v>65</v>
      </c>
      <c r="B256" s="1">
        <f t="shared" si="12"/>
        <v>44977</v>
      </c>
      <c r="C256" s="1" t="str">
        <f t="shared" si="13"/>
        <v>Monday</v>
      </c>
      <c r="D256" s="1" t="str">
        <f t="shared" si="14"/>
        <v>February</v>
      </c>
      <c r="E256" s="1" t="str">
        <f t="shared" si="15"/>
        <v>2023</v>
      </c>
      <c r="F256" t="s">
        <v>16</v>
      </c>
      <c r="G256" s="5">
        <v>192.34536676100001</v>
      </c>
      <c r="H256" s="10">
        <v>13</v>
      </c>
      <c r="I256" s="2">
        <v>241.150571539661</v>
      </c>
      <c r="J256" t="s">
        <v>8</v>
      </c>
    </row>
    <row r="257" spans="1:10" x14ac:dyDescent="0.25">
      <c r="A257" t="s">
        <v>66</v>
      </c>
      <c r="B257" s="1">
        <f t="shared" si="12"/>
        <v>44978</v>
      </c>
      <c r="C257" s="1" t="str">
        <f t="shared" si="13"/>
        <v>Tuesday</v>
      </c>
      <c r="D257" s="1" t="str">
        <f t="shared" si="14"/>
        <v>February</v>
      </c>
      <c r="E257" s="1" t="str">
        <f t="shared" si="15"/>
        <v>2023</v>
      </c>
      <c r="F257" t="s">
        <v>7</v>
      </c>
      <c r="G257" s="5">
        <v>486.94948223120002</v>
      </c>
      <c r="H257" s="10">
        <v>11</v>
      </c>
      <c r="I257" s="2">
        <v>110.29950199240901</v>
      </c>
      <c r="J257" t="s">
        <v>12</v>
      </c>
    </row>
    <row r="258" spans="1:10" x14ac:dyDescent="0.25">
      <c r="A258" t="s">
        <v>66</v>
      </c>
      <c r="B258" s="1">
        <f t="shared" si="12"/>
        <v>44978</v>
      </c>
      <c r="C258" s="1" t="str">
        <f t="shared" si="13"/>
        <v>Tuesday</v>
      </c>
      <c r="D258" s="1" t="str">
        <f t="shared" si="14"/>
        <v>February</v>
      </c>
      <c r="E258" s="1" t="str">
        <f t="shared" si="15"/>
        <v>2023</v>
      </c>
      <c r="F258" t="s">
        <v>9</v>
      </c>
      <c r="G258" s="5">
        <v>613.46578672819999</v>
      </c>
      <c r="H258" s="10">
        <v>5</v>
      </c>
      <c r="I258" s="2">
        <v>64.731193860660895</v>
      </c>
      <c r="J258" t="s">
        <v>12</v>
      </c>
    </row>
    <row r="259" spans="1:10" x14ac:dyDescent="0.25">
      <c r="A259" t="s">
        <v>66</v>
      </c>
      <c r="B259" s="1">
        <f t="shared" ref="B259:B322" si="16">DATE(VALUE(RIGHT(A259,4)),VALUE(LEFT(A259,FIND("/",A259)-1)),VALUE(MID(A259,FIND("/",A259)+1,FIND("/",A259,FIND("/",A259)+1)-FIND("/",A259)-1)))</f>
        <v>44978</v>
      </c>
      <c r="C259" s="1" t="str">
        <f t="shared" ref="C259:C322" si="17">TEXT(B259,"DDDD")</f>
        <v>Tuesday</v>
      </c>
      <c r="D259" s="1" t="str">
        <f t="shared" ref="D259:D322" si="18">TEXT(B259,"MMMM")</f>
        <v>February</v>
      </c>
      <c r="E259" s="1" t="str">
        <f t="shared" ref="E259:E322" si="19">TEXT(B259,"YYYY")</f>
        <v>2023</v>
      </c>
      <c r="F259" t="s">
        <v>11</v>
      </c>
      <c r="G259" s="5">
        <v>13.245226676210001</v>
      </c>
      <c r="H259" s="10">
        <v>10</v>
      </c>
      <c r="I259" s="2">
        <v>281.21052676724798</v>
      </c>
      <c r="J259" t="s">
        <v>12</v>
      </c>
    </row>
    <row r="260" spans="1:10" x14ac:dyDescent="0.25">
      <c r="A260" t="s">
        <v>66</v>
      </c>
      <c r="B260" s="1">
        <f t="shared" si="16"/>
        <v>44978</v>
      </c>
      <c r="C260" s="1" t="str">
        <f t="shared" si="17"/>
        <v>Tuesday</v>
      </c>
      <c r="D260" s="1" t="str">
        <f t="shared" si="18"/>
        <v>February</v>
      </c>
      <c r="E260" s="1" t="str">
        <f t="shared" si="19"/>
        <v>2023</v>
      </c>
      <c r="F260" t="s">
        <v>13</v>
      </c>
      <c r="G260" s="5">
        <v>955.39172766333002</v>
      </c>
      <c r="H260" s="10">
        <v>6</v>
      </c>
      <c r="I260" s="2">
        <v>333.357480865502</v>
      </c>
      <c r="J260" t="s">
        <v>10</v>
      </c>
    </row>
    <row r="261" spans="1:10" x14ac:dyDescent="0.25">
      <c r="A261" t="s">
        <v>66</v>
      </c>
      <c r="B261" s="1">
        <f t="shared" si="16"/>
        <v>44978</v>
      </c>
      <c r="C261" s="1" t="str">
        <f t="shared" si="17"/>
        <v>Tuesday</v>
      </c>
      <c r="D261" s="1" t="str">
        <f t="shared" si="18"/>
        <v>February</v>
      </c>
      <c r="E261" s="1" t="str">
        <f t="shared" si="19"/>
        <v>2023</v>
      </c>
      <c r="F261" t="s">
        <v>16</v>
      </c>
      <c r="G261" s="5">
        <v>796.22742498596801</v>
      </c>
      <c r="H261" s="10">
        <v>10</v>
      </c>
      <c r="I261" s="2">
        <v>113.068722644969</v>
      </c>
      <c r="J261" t="s">
        <v>10</v>
      </c>
    </row>
    <row r="262" spans="1:10" x14ac:dyDescent="0.25">
      <c r="A262" t="s">
        <v>67</v>
      </c>
      <c r="B262" s="1">
        <f t="shared" si="16"/>
        <v>44979</v>
      </c>
      <c r="C262" s="1" t="str">
        <f t="shared" si="17"/>
        <v>Wednesday</v>
      </c>
      <c r="D262" s="1" t="str">
        <f t="shared" si="18"/>
        <v>February</v>
      </c>
      <c r="E262" s="1" t="str">
        <f t="shared" si="19"/>
        <v>2023</v>
      </c>
      <c r="F262" t="s">
        <v>7</v>
      </c>
      <c r="G262" s="5">
        <v>1486.1633549759999</v>
      </c>
      <c r="H262" s="10">
        <v>7</v>
      </c>
      <c r="I262" s="2">
        <v>404.21816104767203</v>
      </c>
      <c r="J262" t="s">
        <v>8</v>
      </c>
    </row>
    <row r="263" spans="1:10" x14ac:dyDescent="0.25">
      <c r="A263" t="s">
        <v>67</v>
      </c>
      <c r="B263" s="1">
        <f t="shared" si="16"/>
        <v>44979</v>
      </c>
      <c r="C263" s="1" t="str">
        <f t="shared" si="17"/>
        <v>Wednesday</v>
      </c>
      <c r="D263" s="1" t="str">
        <f t="shared" si="18"/>
        <v>February</v>
      </c>
      <c r="E263" s="1" t="str">
        <f t="shared" si="19"/>
        <v>2023</v>
      </c>
      <c r="F263" t="s">
        <v>9</v>
      </c>
      <c r="G263" s="5">
        <v>1471.1483957834</v>
      </c>
      <c r="H263" s="10">
        <v>14</v>
      </c>
      <c r="I263" s="2">
        <v>167.843010987757</v>
      </c>
      <c r="J263" t="s">
        <v>14</v>
      </c>
    </row>
    <row r="264" spans="1:10" x14ac:dyDescent="0.25">
      <c r="A264" t="s">
        <v>67</v>
      </c>
      <c r="B264" s="1">
        <f t="shared" si="16"/>
        <v>44979</v>
      </c>
      <c r="C264" s="1" t="str">
        <f t="shared" si="17"/>
        <v>Wednesday</v>
      </c>
      <c r="D264" s="1" t="str">
        <f t="shared" si="18"/>
        <v>February</v>
      </c>
      <c r="E264" s="1" t="str">
        <f t="shared" si="19"/>
        <v>2023</v>
      </c>
      <c r="F264" t="s">
        <v>11</v>
      </c>
      <c r="G264" s="5">
        <v>144.16234881880001</v>
      </c>
      <c r="H264" s="10">
        <v>11</v>
      </c>
      <c r="I264" s="2">
        <v>194.84917396313301</v>
      </c>
      <c r="J264" t="s">
        <v>14</v>
      </c>
    </row>
    <row r="265" spans="1:10" x14ac:dyDescent="0.25">
      <c r="A265" t="s">
        <v>67</v>
      </c>
      <c r="B265" s="1">
        <f t="shared" si="16"/>
        <v>44979</v>
      </c>
      <c r="C265" s="1" t="str">
        <f t="shared" si="17"/>
        <v>Wednesday</v>
      </c>
      <c r="D265" s="1" t="str">
        <f t="shared" si="18"/>
        <v>February</v>
      </c>
      <c r="E265" s="1" t="str">
        <f t="shared" si="19"/>
        <v>2023</v>
      </c>
      <c r="F265" t="s">
        <v>13</v>
      </c>
      <c r="G265" s="5">
        <v>933.23755830000005</v>
      </c>
      <c r="H265" s="10">
        <v>4</v>
      </c>
      <c r="I265" s="2">
        <v>294.63594930328901</v>
      </c>
      <c r="J265" t="s">
        <v>10</v>
      </c>
    </row>
    <row r="266" spans="1:10" x14ac:dyDescent="0.25">
      <c r="A266" t="s">
        <v>67</v>
      </c>
      <c r="B266" s="1">
        <f t="shared" si="16"/>
        <v>44979</v>
      </c>
      <c r="C266" s="1" t="str">
        <f t="shared" si="17"/>
        <v>Wednesday</v>
      </c>
      <c r="D266" s="1" t="str">
        <f t="shared" si="18"/>
        <v>February</v>
      </c>
      <c r="E266" s="1" t="str">
        <f t="shared" si="19"/>
        <v>2023</v>
      </c>
      <c r="F266" t="s">
        <v>16</v>
      </c>
      <c r="G266" s="5">
        <v>1162.3561781799999</v>
      </c>
      <c r="H266" s="10">
        <v>15</v>
      </c>
      <c r="I266" s="2">
        <v>448.91079087651201</v>
      </c>
      <c r="J266" t="s">
        <v>12</v>
      </c>
    </row>
    <row r="267" spans="1:10" x14ac:dyDescent="0.25">
      <c r="A267" t="s">
        <v>68</v>
      </c>
      <c r="B267" s="1">
        <f t="shared" si="16"/>
        <v>44980</v>
      </c>
      <c r="C267" s="1" t="str">
        <f t="shared" si="17"/>
        <v>Thursday</v>
      </c>
      <c r="D267" s="1" t="str">
        <f t="shared" si="18"/>
        <v>February</v>
      </c>
      <c r="E267" s="1" t="str">
        <f t="shared" si="19"/>
        <v>2023</v>
      </c>
      <c r="F267" t="s">
        <v>7</v>
      </c>
      <c r="G267" s="5">
        <v>139.88855566800001</v>
      </c>
      <c r="H267" s="10">
        <v>5</v>
      </c>
      <c r="I267" s="2">
        <v>254.902336427085</v>
      </c>
      <c r="J267" t="s">
        <v>12</v>
      </c>
    </row>
    <row r="268" spans="1:10" x14ac:dyDescent="0.25">
      <c r="A268" t="s">
        <v>68</v>
      </c>
      <c r="B268" s="1">
        <f t="shared" si="16"/>
        <v>44980</v>
      </c>
      <c r="C268" s="1" t="str">
        <f t="shared" si="17"/>
        <v>Thursday</v>
      </c>
      <c r="D268" s="1" t="str">
        <f t="shared" si="18"/>
        <v>February</v>
      </c>
      <c r="E268" s="1" t="str">
        <f t="shared" si="19"/>
        <v>2023</v>
      </c>
      <c r="F268" t="s">
        <v>9</v>
      </c>
      <c r="G268" s="5">
        <v>827.38652128667002</v>
      </c>
      <c r="H268" s="10">
        <v>13</v>
      </c>
      <c r="I268" s="2">
        <v>121.11934533165601</v>
      </c>
      <c r="J268" t="s">
        <v>8</v>
      </c>
    </row>
    <row r="269" spans="1:10" x14ac:dyDescent="0.25">
      <c r="A269" t="s">
        <v>68</v>
      </c>
      <c r="B269" s="1">
        <f t="shared" si="16"/>
        <v>44980</v>
      </c>
      <c r="C269" s="1" t="str">
        <f t="shared" si="17"/>
        <v>Thursday</v>
      </c>
      <c r="D269" s="1" t="str">
        <f t="shared" si="18"/>
        <v>February</v>
      </c>
      <c r="E269" s="1" t="str">
        <f t="shared" si="19"/>
        <v>2023</v>
      </c>
      <c r="F269" t="s">
        <v>11</v>
      </c>
      <c r="G269" s="5">
        <v>136.629443936</v>
      </c>
      <c r="H269" s="10">
        <v>2</v>
      </c>
      <c r="I269" s="2">
        <v>136.81031335906499</v>
      </c>
      <c r="J269" t="s">
        <v>8</v>
      </c>
    </row>
    <row r="270" spans="1:10" x14ac:dyDescent="0.25">
      <c r="A270" t="s">
        <v>68</v>
      </c>
      <c r="B270" s="1">
        <f t="shared" si="16"/>
        <v>44980</v>
      </c>
      <c r="C270" s="1" t="str">
        <f t="shared" si="17"/>
        <v>Thursday</v>
      </c>
      <c r="D270" s="1" t="str">
        <f t="shared" si="18"/>
        <v>February</v>
      </c>
      <c r="E270" s="1" t="str">
        <f t="shared" si="19"/>
        <v>2023</v>
      </c>
      <c r="F270" t="s">
        <v>13</v>
      </c>
      <c r="G270" s="5">
        <v>686.22619934287002</v>
      </c>
      <c r="H270" s="10">
        <v>11</v>
      </c>
      <c r="I270" s="2">
        <v>191.790490299841</v>
      </c>
      <c r="J270" t="s">
        <v>8</v>
      </c>
    </row>
    <row r="271" spans="1:10" x14ac:dyDescent="0.25">
      <c r="A271" t="s">
        <v>68</v>
      </c>
      <c r="B271" s="1">
        <f t="shared" si="16"/>
        <v>44980</v>
      </c>
      <c r="C271" s="1" t="str">
        <f t="shared" si="17"/>
        <v>Thursday</v>
      </c>
      <c r="D271" s="1" t="str">
        <f t="shared" si="18"/>
        <v>February</v>
      </c>
      <c r="E271" s="1" t="str">
        <f t="shared" si="19"/>
        <v>2023</v>
      </c>
      <c r="F271" t="s">
        <v>16</v>
      </c>
      <c r="G271" s="5">
        <v>465.83299536854997</v>
      </c>
      <c r="H271" s="10">
        <v>7</v>
      </c>
      <c r="I271" s="2">
        <v>57.194985896438602</v>
      </c>
      <c r="J271" t="s">
        <v>12</v>
      </c>
    </row>
    <row r="272" spans="1:10" x14ac:dyDescent="0.25">
      <c r="A272" t="s">
        <v>69</v>
      </c>
      <c r="B272" s="1">
        <f t="shared" si="16"/>
        <v>44981</v>
      </c>
      <c r="C272" s="1" t="str">
        <f t="shared" si="17"/>
        <v>Friday</v>
      </c>
      <c r="D272" s="1" t="str">
        <f t="shared" si="18"/>
        <v>February</v>
      </c>
      <c r="E272" s="1" t="str">
        <f t="shared" si="19"/>
        <v>2023</v>
      </c>
      <c r="F272" t="s">
        <v>7</v>
      </c>
      <c r="G272" s="5">
        <v>1189.72232171665</v>
      </c>
      <c r="H272" s="10">
        <v>6</v>
      </c>
      <c r="I272" s="2">
        <v>329.63541197242301</v>
      </c>
      <c r="J272" t="s">
        <v>10</v>
      </c>
    </row>
    <row r="273" spans="1:10" x14ac:dyDescent="0.25">
      <c r="A273" t="s">
        <v>69</v>
      </c>
      <c r="B273" s="1">
        <f t="shared" si="16"/>
        <v>44981</v>
      </c>
      <c r="C273" s="1" t="str">
        <f t="shared" si="17"/>
        <v>Friday</v>
      </c>
      <c r="D273" s="1" t="str">
        <f t="shared" si="18"/>
        <v>February</v>
      </c>
      <c r="E273" s="1" t="str">
        <f t="shared" si="19"/>
        <v>2023</v>
      </c>
      <c r="F273" t="s">
        <v>9</v>
      </c>
      <c r="G273" s="5">
        <v>1291.7663348880999</v>
      </c>
      <c r="H273" s="10">
        <v>5</v>
      </c>
      <c r="I273" s="2">
        <v>164.667425249579</v>
      </c>
      <c r="J273" t="s">
        <v>10</v>
      </c>
    </row>
    <row r="274" spans="1:10" x14ac:dyDescent="0.25">
      <c r="A274" t="s">
        <v>69</v>
      </c>
      <c r="B274" s="1">
        <f t="shared" si="16"/>
        <v>44981</v>
      </c>
      <c r="C274" s="1" t="str">
        <f t="shared" si="17"/>
        <v>Friday</v>
      </c>
      <c r="D274" s="1" t="str">
        <f t="shared" si="18"/>
        <v>February</v>
      </c>
      <c r="E274" s="1" t="str">
        <f t="shared" si="19"/>
        <v>2023</v>
      </c>
      <c r="F274" t="s">
        <v>11</v>
      </c>
      <c r="G274" s="5">
        <v>165.252371786</v>
      </c>
      <c r="H274" s="10">
        <v>12</v>
      </c>
      <c r="I274" s="2">
        <v>279.70361799850002</v>
      </c>
      <c r="J274" t="s">
        <v>14</v>
      </c>
    </row>
    <row r="275" spans="1:10" x14ac:dyDescent="0.25">
      <c r="A275" t="s">
        <v>69</v>
      </c>
      <c r="B275" s="1">
        <f t="shared" si="16"/>
        <v>44981</v>
      </c>
      <c r="C275" s="1" t="str">
        <f t="shared" si="17"/>
        <v>Friday</v>
      </c>
      <c r="D275" s="1" t="str">
        <f t="shared" si="18"/>
        <v>February</v>
      </c>
      <c r="E275" s="1" t="str">
        <f t="shared" si="19"/>
        <v>2023</v>
      </c>
      <c r="F275" t="s">
        <v>13</v>
      </c>
      <c r="G275" s="5">
        <v>1583.7613854483</v>
      </c>
      <c r="H275" s="10">
        <v>19</v>
      </c>
      <c r="I275" s="2">
        <v>506.2769887</v>
      </c>
      <c r="J275" t="s">
        <v>8</v>
      </c>
    </row>
    <row r="276" spans="1:10" x14ac:dyDescent="0.25">
      <c r="A276" t="s">
        <v>69</v>
      </c>
      <c r="B276" s="1">
        <f t="shared" si="16"/>
        <v>44981</v>
      </c>
      <c r="C276" s="1" t="str">
        <f t="shared" si="17"/>
        <v>Friday</v>
      </c>
      <c r="D276" s="1" t="str">
        <f t="shared" si="18"/>
        <v>February</v>
      </c>
      <c r="E276" s="1" t="str">
        <f t="shared" si="19"/>
        <v>2023</v>
      </c>
      <c r="F276" t="s">
        <v>16</v>
      </c>
      <c r="G276" s="5">
        <v>1241.4495362140001</v>
      </c>
      <c r="H276" s="10">
        <v>16</v>
      </c>
      <c r="I276" s="2">
        <v>440.41197320881201</v>
      </c>
      <c r="J276" t="s">
        <v>8</v>
      </c>
    </row>
    <row r="277" spans="1:10" x14ac:dyDescent="0.25">
      <c r="A277" t="s">
        <v>70</v>
      </c>
      <c r="B277" s="1">
        <f t="shared" si="16"/>
        <v>44982</v>
      </c>
      <c r="C277" s="1" t="str">
        <f t="shared" si="17"/>
        <v>Saturday</v>
      </c>
      <c r="D277" s="1" t="str">
        <f t="shared" si="18"/>
        <v>February</v>
      </c>
      <c r="E277" s="1" t="str">
        <f t="shared" si="19"/>
        <v>2023</v>
      </c>
      <c r="F277" t="s">
        <v>7</v>
      </c>
      <c r="G277" s="5">
        <v>1279.7637866</v>
      </c>
      <c r="H277" s="10">
        <v>18</v>
      </c>
      <c r="I277" s="2">
        <v>315.711118373548</v>
      </c>
      <c r="J277" t="s">
        <v>10</v>
      </c>
    </row>
    <row r="278" spans="1:10" x14ac:dyDescent="0.25">
      <c r="A278" t="s">
        <v>70</v>
      </c>
      <c r="B278" s="1">
        <f t="shared" si="16"/>
        <v>44982</v>
      </c>
      <c r="C278" s="1" t="str">
        <f t="shared" si="17"/>
        <v>Saturday</v>
      </c>
      <c r="D278" s="1" t="str">
        <f t="shared" si="18"/>
        <v>February</v>
      </c>
      <c r="E278" s="1" t="str">
        <f t="shared" si="19"/>
        <v>2023</v>
      </c>
      <c r="F278" t="s">
        <v>9</v>
      </c>
      <c r="G278" s="5">
        <v>915.5453</v>
      </c>
      <c r="H278" s="10">
        <v>15</v>
      </c>
      <c r="I278" s="2">
        <v>103.62402479401599</v>
      </c>
      <c r="J278" t="s">
        <v>14</v>
      </c>
    </row>
    <row r="279" spans="1:10" x14ac:dyDescent="0.25">
      <c r="A279" t="s">
        <v>70</v>
      </c>
      <c r="B279" s="1">
        <f t="shared" si="16"/>
        <v>44982</v>
      </c>
      <c r="C279" s="1" t="str">
        <f t="shared" si="17"/>
        <v>Saturday</v>
      </c>
      <c r="D279" s="1" t="str">
        <f t="shared" si="18"/>
        <v>February</v>
      </c>
      <c r="E279" s="1" t="str">
        <f t="shared" si="19"/>
        <v>2023</v>
      </c>
      <c r="F279" t="s">
        <v>11</v>
      </c>
      <c r="G279" s="5">
        <v>781.46151349589695</v>
      </c>
      <c r="H279" s="10">
        <v>7</v>
      </c>
      <c r="I279" s="2">
        <v>414.445420297162</v>
      </c>
      <c r="J279" t="s">
        <v>12</v>
      </c>
    </row>
    <row r="280" spans="1:10" x14ac:dyDescent="0.25">
      <c r="A280" t="s">
        <v>70</v>
      </c>
      <c r="B280" s="1">
        <f t="shared" si="16"/>
        <v>44982</v>
      </c>
      <c r="C280" s="1" t="str">
        <f t="shared" si="17"/>
        <v>Saturday</v>
      </c>
      <c r="D280" s="1" t="str">
        <f t="shared" si="18"/>
        <v>February</v>
      </c>
      <c r="E280" s="1" t="str">
        <f t="shared" si="19"/>
        <v>2023</v>
      </c>
      <c r="F280" t="s">
        <v>13</v>
      </c>
      <c r="G280" s="5">
        <v>1245.5454239155999</v>
      </c>
      <c r="H280" s="10">
        <v>14</v>
      </c>
      <c r="I280" s="2">
        <v>169.589445857534</v>
      </c>
      <c r="J280" t="s">
        <v>10</v>
      </c>
    </row>
    <row r="281" spans="1:10" x14ac:dyDescent="0.25">
      <c r="A281" t="s">
        <v>70</v>
      </c>
      <c r="B281" s="1">
        <f t="shared" si="16"/>
        <v>44982</v>
      </c>
      <c r="C281" s="1" t="str">
        <f t="shared" si="17"/>
        <v>Saturday</v>
      </c>
      <c r="D281" s="1" t="str">
        <f t="shared" si="18"/>
        <v>February</v>
      </c>
      <c r="E281" s="1" t="str">
        <f t="shared" si="19"/>
        <v>2023</v>
      </c>
      <c r="F281" t="s">
        <v>16</v>
      </c>
      <c r="G281" s="5">
        <v>14.154296</v>
      </c>
      <c r="H281" s="10">
        <v>9</v>
      </c>
      <c r="I281" s="2">
        <v>164.11524149019399</v>
      </c>
      <c r="J281" t="s">
        <v>14</v>
      </c>
    </row>
    <row r="282" spans="1:10" x14ac:dyDescent="0.25">
      <c r="A282" t="s">
        <v>71</v>
      </c>
      <c r="B282" s="1">
        <f t="shared" si="16"/>
        <v>44983</v>
      </c>
      <c r="C282" s="1" t="str">
        <f t="shared" si="17"/>
        <v>Sunday</v>
      </c>
      <c r="D282" s="1" t="str">
        <f t="shared" si="18"/>
        <v>February</v>
      </c>
      <c r="E282" s="1" t="str">
        <f t="shared" si="19"/>
        <v>2023</v>
      </c>
      <c r="F282" t="s">
        <v>7</v>
      </c>
      <c r="G282" s="5">
        <v>1338.7283126540001</v>
      </c>
      <c r="H282" s="10">
        <v>7</v>
      </c>
      <c r="I282" s="2">
        <v>316.66518283843101</v>
      </c>
      <c r="J282" t="s">
        <v>10</v>
      </c>
    </row>
    <row r="283" spans="1:10" x14ac:dyDescent="0.25">
      <c r="A283" t="s">
        <v>71</v>
      </c>
      <c r="B283" s="1">
        <f t="shared" si="16"/>
        <v>44983</v>
      </c>
      <c r="C283" s="1" t="str">
        <f t="shared" si="17"/>
        <v>Sunday</v>
      </c>
      <c r="D283" s="1" t="str">
        <f t="shared" si="18"/>
        <v>February</v>
      </c>
      <c r="E283" s="1" t="str">
        <f t="shared" si="19"/>
        <v>2023</v>
      </c>
      <c r="F283" t="s">
        <v>9</v>
      </c>
      <c r="G283" s="5">
        <v>792.354336376932</v>
      </c>
      <c r="H283" s="10">
        <v>10</v>
      </c>
      <c r="I283" s="2">
        <v>286.28666739233103</v>
      </c>
      <c r="J283" t="s">
        <v>12</v>
      </c>
    </row>
    <row r="284" spans="1:10" x14ac:dyDescent="0.25">
      <c r="A284" t="s">
        <v>71</v>
      </c>
      <c r="B284" s="1">
        <f t="shared" si="16"/>
        <v>44983</v>
      </c>
      <c r="C284" s="1" t="str">
        <f t="shared" si="17"/>
        <v>Sunday</v>
      </c>
      <c r="D284" s="1" t="str">
        <f t="shared" si="18"/>
        <v>February</v>
      </c>
      <c r="E284" s="1" t="str">
        <f t="shared" si="19"/>
        <v>2023</v>
      </c>
      <c r="F284" t="s">
        <v>11</v>
      </c>
      <c r="G284" s="5">
        <v>578.45223299999998</v>
      </c>
      <c r="H284" s="10">
        <v>13</v>
      </c>
      <c r="I284" s="2">
        <v>71.199322879999997</v>
      </c>
      <c r="J284" t="s">
        <v>8</v>
      </c>
    </row>
    <row r="285" spans="1:10" x14ac:dyDescent="0.25">
      <c r="A285" t="s">
        <v>71</v>
      </c>
      <c r="B285" s="1">
        <f t="shared" si="16"/>
        <v>44983</v>
      </c>
      <c r="C285" s="1" t="str">
        <f t="shared" si="17"/>
        <v>Sunday</v>
      </c>
      <c r="D285" s="1" t="str">
        <f t="shared" si="18"/>
        <v>February</v>
      </c>
      <c r="E285" s="1" t="str">
        <f t="shared" si="19"/>
        <v>2023</v>
      </c>
      <c r="F285" t="s">
        <v>13</v>
      </c>
      <c r="G285" s="5">
        <v>746.15692945599994</v>
      </c>
      <c r="H285" s="10">
        <v>11</v>
      </c>
      <c r="I285" s="2">
        <v>232.31947148864899</v>
      </c>
      <c r="J285" t="s">
        <v>10</v>
      </c>
    </row>
    <row r="286" spans="1:10" x14ac:dyDescent="0.25">
      <c r="A286" t="s">
        <v>71</v>
      </c>
      <c r="B286" s="1">
        <f t="shared" si="16"/>
        <v>44983</v>
      </c>
      <c r="C286" s="1" t="str">
        <f t="shared" si="17"/>
        <v>Sunday</v>
      </c>
      <c r="D286" s="1" t="str">
        <f t="shared" si="18"/>
        <v>February</v>
      </c>
      <c r="E286" s="1" t="str">
        <f t="shared" si="19"/>
        <v>2023</v>
      </c>
      <c r="F286" t="s">
        <v>16</v>
      </c>
      <c r="G286" s="5">
        <v>1433.2519235646901</v>
      </c>
      <c r="H286" s="10">
        <v>17</v>
      </c>
      <c r="I286" s="2">
        <v>374.82468387797701</v>
      </c>
      <c r="J286" t="s">
        <v>12</v>
      </c>
    </row>
    <row r="287" spans="1:10" x14ac:dyDescent="0.25">
      <c r="A287" t="s">
        <v>72</v>
      </c>
      <c r="B287" s="1">
        <f t="shared" si="16"/>
        <v>44984</v>
      </c>
      <c r="C287" s="1" t="str">
        <f t="shared" si="17"/>
        <v>Monday</v>
      </c>
      <c r="D287" s="1" t="str">
        <f t="shared" si="18"/>
        <v>February</v>
      </c>
      <c r="E287" s="1" t="str">
        <f t="shared" si="19"/>
        <v>2023</v>
      </c>
      <c r="F287" t="s">
        <v>7</v>
      </c>
      <c r="G287" s="5">
        <v>428.64637844447998</v>
      </c>
      <c r="H287" s="10">
        <v>13</v>
      </c>
      <c r="I287" s="2">
        <v>123.350459386094</v>
      </c>
      <c r="J287" t="s">
        <v>14</v>
      </c>
    </row>
    <row r="288" spans="1:10" x14ac:dyDescent="0.25">
      <c r="A288" t="s">
        <v>72</v>
      </c>
      <c r="B288" s="1">
        <f t="shared" si="16"/>
        <v>44984</v>
      </c>
      <c r="C288" s="1" t="str">
        <f t="shared" si="17"/>
        <v>Monday</v>
      </c>
      <c r="D288" s="1" t="str">
        <f t="shared" si="18"/>
        <v>February</v>
      </c>
      <c r="E288" s="1" t="str">
        <f t="shared" si="19"/>
        <v>2023</v>
      </c>
      <c r="F288" t="s">
        <v>9</v>
      </c>
      <c r="G288" s="5">
        <v>792.354336376932</v>
      </c>
      <c r="H288" s="10">
        <v>2</v>
      </c>
      <c r="I288" s="2">
        <v>139.84267634714899</v>
      </c>
      <c r="J288" t="s">
        <v>12</v>
      </c>
    </row>
    <row r="289" spans="1:10" x14ac:dyDescent="0.25">
      <c r="A289" t="s">
        <v>72</v>
      </c>
      <c r="B289" s="1">
        <f t="shared" si="16"/>
        <v>44984</v>
      </c>
      <c r="C289" s="1" t="str">
        <f t="shared" si="17"/>
        <v>Monday</v>
      </c>
      <c r="D289" s="1" t="str">
        <f t="shared" si="18"/>
        <v>February</v>
      </c>
      <c r="E289" s="1" t="str">
        <f t="shared" si="19"/>
        <v>2023</v>
      </c>
      <c r="F289" t="s">
        <v>11</v>
      </c>
      <c r="G289" s="5">
        <v>941.12164217113002</v>
      </c>
      <c r="H289" s="10">
        <v>2</v>
      </c>
      <c r="I289" s="2">
        <v>100.11729486950099</v>
      </c>
      <c r="J289" t="s">
        <v>10</v>
      </c>
    </row>
    <row r="290" spans="1:10" x14ac:dyDescent="0.25">
      <c r="A290" t="s">
        <v>72</v>
      </c>
      <c r="B290" s="1">
        <f t="shared" si="16"/>
        <v>44984</v>
      </c>
      <c r="C290" s="1" t="str">
        <f t="shared" si="17"/>
        <v>Monday</v>
      </c>
      <c r="D290" s="1" t="str">
        <f t="shared" si="18"/>
        <v>February</v>
      </c>
      <c r="E290" s="1" t="str">
        <f t="shared" si="19"/>
        <v>2023</v>
      </c>
      <c r="F290" t="s">
        <v>13</v>
      </c>
      <c r="G290" s="5">
        <v>868.72995918799995</v>
      </c>
      <c r="H290" s="10">
        <v>3</v>
      </c>
      <c r="I290" s="2">
        <v>105.120477803675</v>
      </c>
      <c r="J290" t="s">
        <v>12</v>
      </c>
    </row>
    <row r="291" spans="1:10" x14ac:dyDescent="0.25">
      <c r="A291" t="s">
        <v>72</v>
      </c>
      <c r="B291" s="1">
        <f t="shared" si="16"/>
        <v>44984</v>
      </c>
      <c r="C291" s="1" t="str">
        <f t="shared" si="17"/>
        <v>Monday</v>
      </c>
      <c r="D291" s="1" t="str">
        <f t="shared" si="18"/>
        <v>February</v>
      </c>
      <c r="E291" s="1" t="str">
        <f t="shared" si="19"/>
        <v>2023</v>
      </c>
      <c r="F291" t="s">
        <v>16</v>
      </c>
      <c r="G291" s="5">
        <v>644.99471433587996</v>
      </c>
      <c r="H291" s="10">
        <v>17</v>
      </c>
      <c r="I291" s="2">
        <v>142.07499384591799</v>
      </c>
      <c r="J291" t="s">
        <v>8</v>
      </c>
    </row>
    <row r="292" spans="1:10" x14ac:dyDescent="0.25">
      <c r="A292" t="s">
        <v>73</v>
      </c>
      <c r="B292" s="1">
        <f t="shared" si="16"/>
        <v>44985</v>
      </c>
      <c r="C292" s="1" t="str">
        <f t="shared" si="17"/>
        <v>Tuesday</v>
      </c>
      <c r="D292" s="1" t="str">
        <f t="shared" si="18"/>
        <v>February</v>
      </c>
      <c r="E292" s="1" t="str">
        <f t="shared" si="19"/>
        <v>2023</v>
      </c>
      <c r="F292" t="s">
        <v>7</v>
      </c>
      <c r="G292" s="5">
        <v>1779.3113929731001</v>
      </c>
      <c r="H292" s="10">
        <v>12</v>
      </c>
      <c r="I292" s="2">
        <v>703.22841779999999</v>
      </c>
      <c r="J292" t="s">
        <v>12</v>
      </c>
    </row>
    <row r="293" spans="1:10" x14ac:dyDescent="0.25">
      <c r="A293" t="s">
        <v>73</v>
      </c>
      <c r="B293" s="1">
        <f t="shared" si="16"/>
        <v>44985</v>
      </c>
      <c r="C293" s="1" t="str">
        <f t="shared" si="17"/>
        <v>Tuesday</v>
      </c>
      <c r="D293" s="1" t="str">
        <f t="shared" si="18"/>
        <v>February</v>
      </c>
      <c r="E293" s="1" t="str">
        <f t="shared" si="19"/>
        <v>2023</v>
      </c>
      <c r="F293" t="s">
        <v>9</v>
      </c>
      <c r="G293" s="5">
        <v>84.888716778990997</v>
      </c>
      <c r="H293" s="10">
        <v>7</v>
      </c>
      <c r="I293" s="2">
        <v>206.659812172031</v>
      </c>
      <c r="J293" t="s">
        <v>8</v>
      </c>
    </row>
    <row r="294" spans="1:10" x14ac:dyDescent="0.25">
      <c r="A294" t="s">
        <v>73</v>
      </c>
      <c r="B294" s="1">
        <f t="shared" si="16"/>
        <v>44985</v>
      </c>
      <c r="C294" s="1" t="str">
        <f t="shared" si="17"/>
        <v>Tuesday</v>
      </c>
      <c r="D294" s="1" t="str">
        <f t="shared" si="18"/>
        <v>February</v>
      </c>
      <c r="E294" s="1" t="str">
        <f t="shared" si="19"/>
        <v>2023</v>
      </c>
      <c r="F294" t="s">
        <v>11</v>
      </c>
      <c r="G294" s="5">
        <v>873.943954871242</v>
      </c>
      <c r="H294" s="10">
        <v>14</v>
      </c>
      <c r="I294" s="2">
        <v>165.26355602425801</v>
      </c>
      <c r="J294" t="s">
        <v>12</v>
      </c>
    </row>
    <row r="295" spans="1:10" x14ac:dyDescent="0.25">
      <c r="A295" t="s">
        <v>73</v>
      </c>
      <c r="B295" s="1">
        <f t="shared" si="16"/>
        <v>44985</v>
      </c>
      <c r="C295" s="1" t="str">
        <f t="shared" si="17"/>
        <v>Tuesday</v>
      </c>
      <c r="D295" s="1" t="str">
        <f t="shared" si="18"/>
        <v>February</v>
      </c>
      <c r="E295" s="1" t="str">
        <f t="shared" si="19"/>
        <v>2023</v>
      </c>
      <c r="F295" t="s">
        <v>13</v>
      </c>
      <c r="G295" s="5">
        <v>915.46461734184697</v>
      </c>
      <c r="H295" s="10">
        <v>4</v>
      </c>
      <c r="I295" s="2">
        <v>288.065584309766</v>
      </c>
      <c r="J295" t="s">
        <v>8</v>
      </c>
    </row>
    <row r="296" spans="1:10" x14ac:dyDescent="0.25">
      <c r="A296" t="s">
        <v>73</v>
      </c>
      <c r="B296" s="1">
        <f t="shared" si="16"/>
        <v>44985</v>
      </c>
      <c r="C296" s="1" t="str">
        <f t="shared" si="17"/>
        <v>Tuesday</v>
      </c>
      <c r="D296" s="1" t="str">
        <f t="shared" si="18"/>
        <v>February</v>
      </c>
      <c r="E296" s="1" t="str">
        <f t="shared" si="19"/>
        <v>2023</v>
      </c>
      <c r="F296" t="s">
        <v>16</v>
      </c>
      <c r="G296" s="5">
        <v>989.59453378396495</v>
      </c>
      <c r="H296" s="10">
        <v>17</v>
      </c>
      <c r="I296" s="2">
        <v>215.22596728153101</v>
      </c>
      <c r="J296" t="s">
        <v>14</v>
      </c>
    </row>
    <row r="297" spans="1:10" x14ac:dyDescent="0.25">
      <c r="A297" t="s">
        <v>74</v>
      </c>
      <c r="B297" s="1">
        <f t="shared" si="16"/>
        <v>44986</v>
      </c>
      <c r="C297" s="1" t="str">
        <f t="shared" si="17"/>
        <v>Wednesday</v>
      </c>
      <c r="D297" s="1" t="str">
        <f t="shared" si="18"/>
        <v>March</v>
      </c>
      <c r="E297" s="1" t="str">
        <f t="shared" si="19"/>
        <v>2023</v>
      </c>
      <c r="F297" t="s">
        <v>7</v>
      </c>
      <c r="G297" s="5">
        <v>17.264419769500002</v>
      </c>
      <c r="H297" s="10">
        <v>12</v>
      </c>
      <c r="I297" s="2">
        <v>414.11174945570798</v>
      </c>
      <c r="J297" t="s">
        <v>8</v>
      </c>
    </row>
    <row r="298" spans="1:10" x14ac:dyDescent="0.25">
      <c r="A298" t="s">
        <v>74</v>
      </c>
      <c r="B298" s="1">
        <f t="shared" si="16"/>
        <v>44986</v>
      </c>
      <c r="C298" s="1" t="str">
        <f t="shared" si="17"/>
        <v>Wednesday</v>
      </c>
      <c r="D298" s="1" t="str">
        <f t="shared" si="18"/>
        <v>March</v>
      </c>
      <c r="E298" s="1" t="str">
        <f t="shared" si="19"/>
        <v>2023</v>
      </c>
      <c r="F298" t="s">
        <v>9</v>
      </c>
      <c r="G298" s="5">
        <v>1295.2967195429701</v>
      </c>
      <c r="H298" s="10">
        <v>14</v>
      </c>
      <c r="I298" s="2">
        <v>362.99334898922598</v>
      </c>
      <c r="J298" t="s">
        <v>12</v>
      </c>
    </row>
    <row r="299" spans="1:10" x14ac:dyDescent="0.25">
      <c r="A299" t="s">
        <v>74</v>
      </c>
      <c r="B299" s="1">
        <f t="shared" si="16"/>
        <v>44986</v>
      </c>
      <c r="C299" s="1" t="str">
        <f t="shared" si="17"/>
        <v>Wednesday</v>
      </c>
      <c r="D299" s="1" t="str">
        <f t="shared" si="18"/>
        <v>March</v>
      </c>
      <c r="E299" s="1" t="str">
        <f t="shared" si="19"/>
        <v>2023</v>
      </c>
      <c r="F299" t="s">
        <v>11</v>
      </c>
      <c r="G299" s="5">
        <v>935.83346732347002</v>
      </c>
      <c r="H299" s="10">
        <v>13</v>
      </c>
      <c r="I299" s="2">
        <v>371.28509941537698</v>
      </c>
      <c r="J299" t="s">
        <v>10</v>
      </c>
    </row>
    <row r="300" spans="1:10" x14ac:dyDescent="0.25">
      <c r="A300" t="s">
        <v>74</v>
      </c>
      <c r="B300" s="1">
        <f t="shared" si="16"/>
        <v>44986</v>
      </c>
      <c r="C300" s="1" t="str">
        <f t="shared" si="17"/>
        <v>Wednesday</v>
      </c>
      <c r="D300" s="1" t="str">
        <f t="shared" si="18"/>
        <v>March</v>
      </c>
      <c r="E300" s="1" t="str">
        <f t="shared" si="19"/>
        <v>2023</v>
      </c>
      <c r="F300" t="s">
        <v>13</v>
      </c>
      <c r="G300" s="5">
        <v>149.93566246391001</v>
      </c>
      <c r="H300" s="10">
        <v>19</v>
      </c>
      <c r="I300" s="2">
        <v>266.48055168191797</v>
      </c>
      <c r="J300" t="s">
        <v>12</v>
      </c>
    </row>
    <row r="301" spans="1:10" x14ac:dyDescent="0.25">
      <c r="A301" t="s">
        <v>74</v>
      </c>
      <c r="B301" s="1">
        <f t="shared" si="16"/>
        <v>44986</v>
      </c>
      <c r="C301" s="1" t="str">
        <f t="shared" si="17"/>
        <v>Wednesday</v>
      </c>
      <c r="D301" s="1" t="str">
        <f t="shared" si="18"/>
        <v>March</v>
      </c>
      <c r="E301" s="1" t="str">
        <f t="shared" si="19"/>
        <v>2023</v>
      </c>
      <c r="F301" t="s">
        <v>16</v>
      </c>
      <c r="G301" s="5">
        <v>1147.7353792244</v>
      </c>
      <c r="H301" s="10">
        <v>11</v>
      </c>
      <c r="I301" s="2">
        <v>175.555778246355</v>
      </c>
      <c r="J301" t="s">
        <v>12</v>
      </c>
    </row>
    <row r="302" spans="1:10" x14ac:dyDescent="0.25">
      <c r="A302" t="s">
        <v>75</v>
      </c>
      <c r="B302" s="1">
        <f t="shared" si="16"/>
        <v>44987</v>
      </c>
      <c r="C302" s="1" t="str">
        <f t="shared" si="17"/>
        <v>Thursday</v>
      </c>
      <c r="D302" s="1" t="str">
        <f t="shared" si="18"/>
        <v>March</v>
      </c>
      <c r="E302" s="1" t="str">
        <f t="shared" si="19"/>
        <v>2023</v>
      </c>
      <c r="F302" t="s">
        <v>7</v>
      </c>
      <c r="G302" s="5">
        <v>114.569481145</v>
      </c>
      <c r="H302" s="10">
        <v>15</v>
      </c>
      <c r="I302" s="2">
        <v>188.07665030618799</v>
      </c>
      <c r="J302" t="s">
        <v>8</v>
      </c>
    </row>
    <row r="303" spans="1:10" x14ac:dyDescent="0.25">
      <c r="A303" t="s">
        <v>75</v>
      </c>
      <c r="B303" s="1">
        <f t="shared" si="16"/>
        <v>44987</v>
      </c>
      <c r="C303" s="1" t="str">
        <f t="shared" si="17"/>
        <v>Thursday</v>
      </c>
      <c r="D303" s="1" t="str">
        <f t="shared" si="18"/>
        <v>March</v>
      </c>
      <c r="E303" s="1" t="str">
        <f t="shared" si="19"/>
        <v>2023</v>
      </c>
      <c r="F303" t="s">
        <v>9</v>
      </c>
      <c r="G303" s="5">
        <v>1152.4569332476301</v>
      </c>
      <c r="H303" s="10">
        <v>3</v>
      </c>
      <c r="I303" s="2">
        <v>321.74548707118299</v>
      </c>
      <c r="J303" t="s">
        <v>8</v>
      </c>
    </row>
    <row r="304" spans="1:10" x14ac:dyDescent="0.25">
      <c r="A304" t="s">
        <v>75</v>
      </c>
      <c r="B304" s="1">
        <f t="shared" si="16"/>
        <v>44987</v>
      </c>
      <c r="C304" s="1" t="str">
        <f t="shared" si="17"/>
        <v>Thursday</v>
      </c>
      <c r="D304" s="1" t="str">
        <f t="shared" si="18"/>
        <v>March</v>
      </c>
      <c r="E304" s="1" t="str">
        <f t="shared" si="19"/>
        <v>2023</v>
      </c>
      <c r="F304" t="s">
        <v>11</v>
      </c>
      <c r="G304" s="5">
        <v>887.98219487289998</v>
      </c>
      <c r="H304" s="10">
        <v>18</v>
      </c>
      <c r="I304" s="2">
        <v>219.64714838076901</v>
      </c>
      <c r="J304" t="s">
        <v>8</v>
      </c>
    </row>
    <row r="305" spans="1:10" x14ac:dyDescent="0.25">
      <c r="A305" t="s">
        <v>75</v>
      </c>
      <c r="B305" s="1">
        <f t="shared" si="16"/>
        <v>44987</v>
      </c>
      <c r="C305" s="1" t="str">
        <f t="shared" si="17"/>
        <v>Thursday</v>
      </c>
      <c r="D305" s="1" t="str">
        <f t="shared" si="18"/>
        <v>March</v>
      </c>
      <c r="E305" s="1" t="str">
        <f t="shared" si="19"/>
        <v>2023</v>
      </c>
      <c r="F305" t="s">
        <v>13</v>
      </c>
      <c r="G305" s="5">
        <v>647.92893789636196</v>
      </c>
      <c r="H305" s="10">
        <v>3</v>
      </c>
      <c r="I305" s="2">
        <v>223.373460842388</v>
      </c>
      <c r="J305" t="s">
        <v>12</v>
      </c>
    </row>
    <row r="306" spans="1:10" x14ac:dyDescent="0.25">
      <c r="A306" t="s">
        <v>75</v>
      </c>
      <c r="B306" s="1">
        <f t="shared" si="16"/>
        <v>44987</v>
      </c>
      <c r="C306" s="1" t="str">
        <f t="shared" si="17"/>
        <v>Thursday</v>
      </c>
      <c r="D306" s="1" t="str">
        <f t="shared" si="18"/>
        <v>March</v>
      </c>
      <c r="E306" s="1" t="str">
        <f t="shared" si="19"/>
        <v>2023</v>
      </c>
      <c r="F306" t="s">
        <v>16</v>
      </c>
      <c r="G306" s="5">
        <v>1413.4824359710001</v>
      </c>
      <c r="H306" s="10">
        <v>9</v>
      </c>
      <c r="I306" s="2">
        <v>520.83496519602397</v>
      </c>
      <c r="J306" t="s">
        <v>8</v>
      </c>
    </row>
    <row r="307" spans="1:10" x14ac:dyDescent="0.25">
      <c r="A307" t="s">
        <v>76</v>
      </c>
      <c r="B307" s="1">
        <f t="shared" si="16"/>
        <v>44988</v>
      </c>
      <c r="C307" s="1" t="str">
        <f t="shared" si="17"/>
        <v>Friday</v>
      </c>
      <c r="D307" s="1" t="str">
        <f t="shared" si="18"/>
        <v>March</v>
      </c>
      <c r="E307" s="1" t="str">
        <f t="shared" si="19"/>
        <v>2023</v>
      </c>
      <c r="F307" t="s">
        <v>7</v>
      </c>
      <c r="G307" s="5">
        <v>125.757235632</v>
      </c>
      <c r="H307" s="10">
        <v>2</v>
      </c>
      <c r="I307" s="2">
        <v>285.87966721734199</v>
      </c>
      <c r="J307" t="s">
        <v>14</v>
      </c>
    </row>
    <row r="308" spans="1:10" x14ac:dyDescent="0.25">
      <c r="A308" t="s">
        <v>76</v>
      </c>
      <c r="B308" s="1">
        <f t="shared" si="16"/>
        <v>44988</v>
      </c>
      <c r="C308" s="1" t="str">
        <f t="shared" si="17"/>
        <v>Friday</v>
      </c>
      <c r="D308" s="1" t="str">
        <f t="shared" si="18"/>
        <v>March</v>
      </c>
      <c r="E308" s="1" t="str">
        <f t="shared" si="19"/>
        <v>2023</v>
      </c>
      <c r="F308" t="s">
        <v>9</v>
      </c>
      <c r="G308" s="5">
        <v>816.16339285468405</v>
      </c>
      <c r="H308" s="10">
        <v>9</v>
      </c>
      <c r="I308" s="2">
        <v>92.48192177</v>
      </c>
      <c r="J308" t="s">
        <v>12</v>
      </c>
    </row>
    <row r="309" spans="1:10" x14ac:dyDescent="0.25">
      <c r="A309" t="s">
        <v>76</v>
      </c>
      <c r="B309" s="1">
        <f t="shared" si="16"/>
        <v>44988</v>
      </c>
      <c r="C309" s="1" t="str">
        <f t="shared" si="17"/>
        <v>Friday</v>
      </c>
      <c r="D309" s="1" t="str">
        <f t="shared" si="18"/>
        <v>March</v>
      </c>
      <c r="E309" s="1" t="str">
        <f t="shared" si="19"/>
        <v>2023</v>
      </c>
      <c r="F309" t="s">
        <v>11</v>
      </c>
      <c r="G309" s="5">
        <v>883.68953219239995</v>
      </c>
      <c r="H309" s="10">
        <v>12</v>
      </c>
      <c r="I309" s="2">
        <v>97.759666053159194</v>
      </c>
      <c r="J309" t="s">
        <v>10</v>
      </c>
    </row>
    <row r="310" spans="1:10" x14ac:dyDescent="0.25">
      <c r="A310" t="s">
        <v>76</v>
      </c>
      <c r="B310" s="1">
        <f t="shared" si="16"/>
        <v>44988</v>
      </c>
      <c r="C310" s="1" t="str">
        <f t="shared" si="17"/>
        <v>Friday</v>
      </c>
      <c r="D310" s="1" t="str">
        <f t="shared" si="18"/>
        <v>March</v>
      </c>
      <c r="E310" s="1" t="str">
        <f t="shared" si="19"/>
        <v>2023</v>
      </c>
      <c r="F310" t="s">
        <v>13</v>
      </c>
      <c r="G310" s="5">
        <v>1197.5632818183999</v>
      </c>
      <c r="H310" s="10">
        <v>2</v>
      </c>
      <c r="I310" s="2">
        <v>266.50089927242101</v>
      </c>
      <c r="J310" t="s">
        <v>10</v>
      </c>
    </row>
    <row r="311" spans="1:10" x14ac:dyDescent="0.25">
      <c r="A311" t="s">
        <v>76</v>
      </c>
      <c r="B311" s="1">
        <f t="shared" si="16"/>
        <v>44988</v>
      </c>
      <c r="C311" s="1" t="str">
        <f t="shared" si="17"/>
        <v>Friday</v>
      </c>
      <c r="D311" s="1" t="str">
        <f t="shared" si="18"/>
        <v>March</v>
      </c>
      <c r="E311" s="1" t="str">
        <f t="shared" si="19"/>
        <v>2023</v>
      </c>
      <c r="F311" t="s">
        <v>16</v>
      </c>
      <c r="G311" s="5">
        <v>163.613616299</v>
      </c>
      <c r="H311" s="10">
        <v>6</v>
      </c>
      <c r="I311" s="2">
        <v>285.22651244799499</v>
      </c>
      <c r="J311" t="s">
        <v>8</v>
      </c>
    </row>
    <row r="312" spans="1:10" x14ac:dyDescent="0.25">
      <c r="A312" t="s">
        <v>77</v>
      </c>
      <c r="B312" s="1">
        <f t="shared" si="16"/>
        <v>44989</v>
      </c>
      <c r="C312" s="1" t="str">
        <f t="shared" si="17"/>
        <v>Saturday</v>
      </c>
      <c r="D312" s="1" t="str">
        <f t="shared" si="18"/>
        <v>March</v>
      </c>
      <c r="E312" s="1" t="str">
        <f t="shared" si="19"/>
        <v>2023</v>
      </c>
      <c r="F312" t="s">
        <v>7</v>
      </c>
      <c r="G312" s="5">
        <v>113.67764934109999</v>
      </c>
      <c r="H312" s="10">
        <v>5</v>
      </c>
      <c r="I312" s="2">
        <v>168.32620210715999</v>
      </c>
      <c r="J312" t="s">
        <v>8</v>
      </c>
    </row>
    <row r="313" spans="1:10" x14ac:dyDescent="0.25">
      <c r="A313" t="s">
        <v>77</v>
      </c>
      <c r="B313" s="1">
        <f t="shared" si="16"/>
        <v>44989</v>
      </c>
      <c r="C313" s="1" t="str">
        <f t="shared" si="17"/>
        <v>Saturday</v>
      </c>
      <c r="D313" s="1" t="str">
        <f t="shared" si="18"/>
        <v>March</v>
      </c>
      <c r="E313" s="1" t="str">
        <f t="shared" si="19"/>
        <v>2023</v>
      </c>
      <c r="F313" t="s">
        <v>9</v>
      </c>
      <c r="G313" s="5">
        <v>81.723613781500006</v>
      </c>
      <c r="H313" s="10">
        <v>5</v>
      </c>
      <c r="I313" s="2">
        <v>322.20765463763598</v>
      </c>
      <c r="J313" t="s">
        <v>12</v>
      </c>
    </row>
    <row r="314" spans="1:10" x14ac:dyDescent="0.25">
      <c r="A314" t="s">
        <v>77</v>
      </c>
      <c r="B314" s="1">
        <f t="shared" si="16"/>
        <v>44989</v>
      </c>
      <c r="C314" s="1" t="str">
        <f t="shared" si="17"/>
        <v>Saturday</v>
      </c>
      <c r="D314" s="1" t="str">
        <f t="shared" si="18"/>
        <v>March</v>
      </c>
      <c r="E314" s="1" t="str">
        <f t="shared" si="19"/>
        <v>2023</v>
      </c>
      <c r="F314" t="s">
        <v>11</v>
      </c>
      <c r="G314" s="5">
        <v>781.46151349589695</v>
      </c>
      <c r="H314" s="10">
        <v>19</v>
      </c>
      <c r="I314" s="2">
        <v>0</v>
      </c>
      <c r="J314" t="s">
        <v>14</v>
      </c>
    </row>
    <row r="315" spans="1:10" x14ac:dyDescent="0.25">
      <c r="A315" t="s">
        <v>77</v>
      </c>
      <c r="B315" s="1">
        <f t="shared" si="16"/>
        <v>44989</v>
      </c>
      <c r="C315" s="1" t="str">
        <f t="shared" si="17"/>
        <v>Saturday</v>
      </c>
      <c r="D315" s="1" t="str">
        <f t="shared" si="18"/>
        <v>March</v>
      </c>
      <c r="E315" s="1" t="str">
        <f t="shared" si="19"/>
        <v>2023</v>
      </c>
      <c r="F315" t="s">
        <v>13</v>
      </c>
      <c r="G315" s="5">
        <v>738.93327356945997</v>
      </c>
      <c r="H315" s="10">
        <v>8</v>
      </c>
      <c r="I315" s="2">
        <v>224.19586119790799</v>
      </c>
      <c r="J315" t="s">
        <v>10</v>
      </c>
    </row>
    <row r="316" spans="1:10" x14ac:dyDescent="0.25">
      <c r="A316" t="s">
        <v>77</v>
      </c>
      <c r="B316" s="1">
        <f t="shared" si="16"/>
        <v>44989</v>
      </c>
      <c r="C316" s="1" t="str">
        <f t="shared" si="17"/>
        <v>Saturday</v>
      </c>
      <c r="D316" s="1" t="str">
        <f t="shared" si="18"/>
        <v>March</v>
      </c>
      <c r="E316" s="1" t="str">
        <f t="shared" si="19"/>
        <v>2023</v>
      </c>
      <c r="F316" t="s">
        <v>16</v>
      </c>
      <c r="G316" s="5">
        <v>1122.8242536729999</v>
      </c>
      <c r="H316" s="10">
        <v>19</v>
      </c>
      <c r="I316" s="2">
        <v>404.719945135746</v>
      </c>
      <c r="J316" t="s">
        <v>14</v>
      </c>
    </row>
    <row r="317" spans="1:10" x14ac:dyDescent="0.25">
      <c r="A317" t="s">
        <v>78</v>
      </c>
      <c r="B317" s="1">
        <f t="shared" si="16"/>
        <v>44990</v>
      </c>
      <c r="C317" s="1" t="str">
        <f t="shared" si="17"/>
        <v>Sunday</v>
      </c>
      <c r="D317" s="1" t="str">
        <f t="shared" si="18"/>
        <v>March</v>
      </c>
      <c r="E317" s="1" t="str">
        <f t="shared" si="19"/>
        <v>2023</v>
      </c>
      <c r="F317" t="s">
        <v>7</v>
      </c>
      <c r="G317" s="5">
        <v>1191.3919814522999</v>
      </c>
      <c r="H317" s="10">
        <v>1</v>
      </c>
      <c r="I317" s="2">
        <v>175.37551818310999</v>
      </c>
      <c r="J317" t="s">
        <v>14</v>
      </c>
    </row>
    <row r="318" spans="1:10" x14ac:dyDescent="0.25">
      <c r="A318" t="s">
        <v>78</v>
      </c>
      <c r="B318" s="1">
        <f t="shared" si="16"/>
        <v>44990</v>
      </c>
      <c r="C318" s="1" t="str">
        <f t="shared" si="17"/>
        <v>Sunday</v>
      </c>
      <c r="D318" s="1" t="str">
        <f t="shared" si="18"/>
        <v>March</v>
      </c>
      <c r="E318" s="1" t="str">
        <f t="shared" si="19"/>
        <v>2023</v>
      </c>
      <c r="F318" t="s">
        <v>9</v>
      </c>
      <c r="G318" s="5">
        <v>1246.1446543592001</v>
      </c>
      <c r="H318" s="10">
        <v>10</v>
      </c>
      <c r="I318" s="2">
        <v>164.17984251795301</v>
      </c>
      <c r="J318" t="s">
        <v>10</v>
      </c>
    </row>
    <row r="319" spans="1:10" x14ac:dyDescent="0.25">
      <c r="A319" t="s">
        <v>78</v>
      </c>
      <c r="B319" s="1">
        <f t="shared" si="16"/>
        <v>44990</v>
      </c>
      <c r="C319" s="1" t="str">
        <f t="shared" si="17"/>
        <v>Sunday</v>
      </c>
      <c r="D319" s="1" t="str">
        <f t="shared" si="18"/>
        <v>March</v>
      </c>
      <c r="E319" s="1" t="str">
        <f t="shared" si="19"/>
        <v>2023</v>
      </c>
      <c r="F319" t="s">
        <v>11</v>
      </c>
      <c r="G319" s="5">
        <v>1152.1822933218</v>
      </c>
      <c r="H319" s="10">
        <v>6</v>
      </c>
      <c r="I319" s="2">
        <v>180.62352849999999</v>
      </c>
      <c r="J319" t="s">
        <v>8</v>
      </c>
    </row>
    <row r="320" spans="1:10" x14ac:dyDescent="0.25">
      <c r="A320" t="s">
        <v>78</v>
      </c>
      <c r="B320" s="1">
        <f t="shared" si="16"/>
        <v>44990</v>
      </c>
      <c r="C320" s="1" t="str">
        <f t="shared" si="17"/>
        <v>Sunday</v>
      </c>
      <c r="D320" s="1" t="str">
        <f t="shared" si="18"/>
        <v>March</v>
      </c>
      <c r="E320" s="1" t="str">
        <f t="shared" si="19"/>
        <v>2023</v>
      </c>
      <c r="F320" t="s">
        <v>13</v>
      </c>
      <c r="G320" s="5">
        <v>888.92989428110002</v>
      </c>
      <c r="H320" s="10">
        <v>7</v>
      </c>
      <c r="I320" s="2">
        <v>131.76028459497701</v>
      </c>
      <c r="J320" t="s">
        <v>14</v>
      </c>
    </row>
    <row r="321" spans="1:10" x14ac:dyDescent="0.25">
      <c r="A321" t="s">
        <v>78</v>
      </c>
      <c r="B321" s="1">
        <f t="shared" si="16"/>
        <v>44990</v>
      </c>
      <c r="C321" s="1" t="str">
        <f t="shared" si="17"/>
        <v>Sunday</v>
      </c>
      <c r="D321" s="1" t="str">
        <f t="shared" si="18"/>
        <v>March</v>
      </c>
      <c r="E321" s="1" t="str">
        <f t="shared" si="19"/>
        <v>2023</v>
      </c>
      <c r="F321" t="s">
        <v>16</v>
      </c>
      <c r="G321" s="5">
        <v>749.93233816219004</v>
      </c>
      <c r="H321" s="10">
        <v>2</v>
      </c>
      <c r="I321" s="2">
        <v>262.206520729641</v>
      </c>
      <c r="J321" t="s">
        <v>8</v>
      </c>
    </row>
    <row r="322" spans="1:10" x14ac:dyDescent="0.25">
      <c r="A322" t="s">
        <v>79</v>
      </c>
      <c r="B322" s="1">
        <f t="shared" si="16"/>
        <v>44991</v>
      </c>
      <c r="C322" s="1" t="str">
        <f t="shared" si="17"/>
        <v>Monday</v>
      </c>
      <c r="D322" s="1" t="str">
        <f t="shared" si="18"/>
        <v>March</v>
      </c>
      <c r="E322" s="1" t="str">
        <f t="shared" si="19"/>
        <v>2023</v>
      </c>
      <c r="F322" t="s">
        <v>7</v>
      </c>
      <c r="G322" s="5">
        <v>765.37129441825903</v>
      </c>
      <c r="H322" s="10">
        <v>13</v>
      </c>
      <c r="I322" s="2">
        <v>218.19057566543799</v>
      </c>
      <c r="J322" t="s">
        <v>8</v>
      </c>
    </row>
    <row r="323" spans="1:10" x14ac:dyDescent="0.25">
      <c r="A323" t="s">
        <v>79</v>
      </c>
      <c r="B323" s="1">
        <f t="shared" ref="B323:B386" si="20">DATE(VALUE(RIGHT(A323,4)),VALUE(LEFT(A323,FIND("/",A323)-1)),VALUE(MID(A323,FIND("/",A323)+1,FIND("/",A323,FIND("/",A323)+1)-FIND("/",A323)-1)))</f>
        <v>44991</v>
      </c>
      <c r="C323" s="1" t="str">
        <f t="shared" ref="C323:C386" si="21">TEXT(B323,"DDDD")</f>
        <v>Monday</v>
      </c>
      <c r="D323" s="1" t="str">
        <f t="shared" ref="D323:D386" si="22">TEXT(B323,"MMMM")</f>
        <v>March</v>
      </c>
      <c r="E323" s="1" t="str">
        <f t="shared" ref="E323:E386" si="23">TEXT(B323,"YYYY")</f>
        <v>2023</v>
      </c>
      <c r="F323" t="s">
        <v>9</v>
      </c>
      <c r="G323" s="5">
        <v>815.49459659860997</v>
      </c>
      <c r="H323" s="10">
        <v>9</v>
      </c>
      <c r="I323" s="2">
        <v>236.1216149</v>
      </c>
      <c r="J323" t="s">
        <v>10</v>
      </c>
    </row>
    <row r="324" spans="1:10" x14ac:dyDescent="0.25">
      <c r="A324" t="s">
        <v>79</v>
      </c>
      <c r="B324" s="1">
        <f t="shared" si="20"/>
        <v>44991</v>
      </c>
      <c r="C324" s="1" t="str">
        <f t="shared" si="21"/>
        <v>Monday</v>
      </c>
      <c r="D324" s="1" t="str">
        <f t="shared" si="22"/>
        <v>March</v>
      </c>
      <c r="E324" s="1" t="str">
        <f t="shared" si="23"/>
        <v>2023</v>
      </c>
      <c r="F324" t="s">
        <v>11</v>
      </c>
      <c r="G324" s="5">
        <v>933.64848226000004</v>
      </c>
      <c r="H324" s="10">
        <v>19</v>
      </c>
      <c r="I324" s="2">
        <v>306.522090072624</v>
      </c>
      <c r="J324" t="s">
        <v>12</v>
      </c>
    </row>
    <row r="325" spans="1:10" x14ac:dyDescent="0.25">
      <c r="A325" t="s">
        <v>79</v>
      </c>
      <c r="B325" s="1">
        <f t="shared" si="20"/>
        <v>44991</v>
      </c>
      <c r="C325" s="1" t="str">
        <f t="shared" si="21"/>
        <v>Monday</v>
      </c>
      <c r="D325" s="1" t="str">
        <f t="shared" si="22"/>
        <v>March</v>
      </c>
      <c r="E325" s="1" t="str">
        <f t="shared" si="23"/>
        <v>2023</v>
      </c>
      <c r="F325" t="s">
        <v>13</v>
      </c>
      <c r="G325" s="5">
        <v>156.9162656741</v>
      </c>
      <c r="H325" s="10">
        <v>9</v>
      </c>
      <c r="I325" s="2">
        <v>411.03220010927203</v>
      </c>
      <c r="J325" t="s">
        <v>10</v>
      </c>
    </row>
    <row r="326" spans="1:10" x14ac:dyDescent="0.25">
      <c r="A326" t="s">
        <v>79</v>
      </c>
      <c r="B326" s="1">
        <f t="shared" si="20"/>
        <v>44991</v>
      </c>
      <c r="C326" s="1" t="str">
        <f t="shared" si="21"/>
        <v>Monday</v>
      </c>
      <c r="D326" s="1" t="str">
        <f t="shared" si="22"/>
        <v>March</v>
      </c>
      <c r="E326" s="1" t="str">
        <f t="shared" si="23"/>
        <v>2023</v>
      </c>
      <c r="F326" t="s">
        <v>16</v>
      </c>
      <c r="G326" s="5">
        <v>644.37399859595996</v>
      </c>
      <c r="H326" s="10">
        <v>5</v>
      </c>
      <c r="I326" s="2">
        <v>84.253780860000006</v>
      </c>
      <c r="J326" t="s">
        <v>14</v>
      </c>
    </row>
    <row r="327" spans="1:10" x14ac:dyDescent="0.25">
      <c r="A327" t="s">
        <v>80</v>
      </c>
      <c r="B327" s="1">
        <f t="shared" si="20"/>
        <v>44992</v>
      </c>
      <c r="C327" s="1" t="str">
        <f t="shared" si="21"/>
        <v>Tuesday</v>
      </c>
      <c r="D327" s="1" t="str">
        <f t="shared" si="22"/>
        <v>March</v>
      </c>
      <c r="E327" s="1" t="str">
        <f t="shared" si="23"/>
        <v>2023</v>
      </c>
      <c r="F327" t="s">
        <v>7</v>
      </c>
      <c r="G327" s="5">
        <v>88.332252323934</v>
      </c>
      <c r="H327" s="10">
        <v>4</v>
      </c>
      <c r="I327" s="2">
        <v>105.948970542319</v>
      </c>
      <c r="J327" t="s">
        <v>10</v>
      </c>
    </row>
    <row r="328" spans="1:10" x14ac:dyDescent="0.25">
      <c r="A328" t="s">
        <v>80</v>
      </c>
      <c r="B328" s="1">
        <f t="shared" si="20"/>
        <v>44992</v>
      </c>
      <c r="C328" s="1" t="str">
        <f t="shared" si="21"/>
        <v>Tuesday</v>
      </c>
      <c r="D328" s="1" t="str">
        <f t="shared" si="22"/>
        <v>March</v>
      </c>
      <c r="E328" s="1" t="str">
        <f t="shared" si="23"/>
        <v>2023</v>
      </c>
      <c r="F328" t="s">
        <v>9</v>
      </c>
      <c r="G328" s="5">
        <v>1147.1258720000001</v>
      </c>
      <c r="H328" s="10">
        <v>17</v>
      </c>
      <c r="I328" s="2">
        <v>315.05942610035299</v>
      </c>
      <c r="J328" t="s">
        <v>8</v>
      </c>
    </row>
    <row r="329" spans="1:10" x14ac:dyDescent="0.25">
      <c r="A329" t="s">
        <v>80</v>
      </c>
      <c r="B329" s="1">
        <f t="shared" si="20"/>
        <v>44992</v>
      </c>
      <c r="C329" s="1" t="str">
        <f t="shared" si="21"/>
        <v>Tuesday</v>
      </c>
      <c r="D329" s="1" t="str">
        <f t="shared" si="22"/>
        <v>March</v>
      </c>
      <c r="E329" s="1" t="str">
        <f t="shared" si="23"/>
        <v>2023</v>
      </c>
      <c r="F329" t="s">
        <v>11</v>
      </c>
      <c r="G329" s="5">
        <v>818.86592828137896</v>
      </c>
      <c r="H329" s="10">
        <v>18</v>
      </c>
      <c r="I329" s="2">
        <v>295.98813156854402</v>
      </c>
      <c r="J329" t="s">
        <v>14</v>
      </c>
    </row>
    <row r="330" spans="1:10" x14ac:dyDescent="0.25">
      <c r="A330" t="s">
        <v>80</v>
      </c>
      <c r="B330" s="1">
        <f t="shared" si="20"/>
        <v>44992</v>
      </c>
      <c r="C330" s="1" t="str">
        <f t="shared" si="21"/>
        <v>Tuesday</v>
      </c>
      <c r="D330" s="1" t="str">
        <f t="shared" si="22"/>
        <v>March</v>
      </c>
      <c r="E330" s="1" t="str">
        <f t="shared" si="23"/>
        <v>2023</v>
      </c>
      <c r="F330" t="s">
        <v>13</v>
      </c>
      <c r="G330" s="5">
        <v>824.35573443597002</v>
      </c>
      <c r="H330" s="10">
        <v>3</v>
      </c>
      <c r="I330" s="2">
        <v>229.344557157927</v>
      </c>
      <c r="J330" t="s">
        <v>14</v>
      </c>
    </row>
    <row r="331" spans="1:10" x14ac:dyDescent="0.25">
      <c r="A331" t="s">
        <v>80</v>
      </c>
      <c r="B331" s="1">
        <f t="shared" si="20"/>
        <v>44992</v>
      </c>
      <c r="C331" s="1" t="str">
        <f t="shared" si="21"/>
        <v>Tuesday</v>
      </c>
      <c r="D331" s="1" t="str">
        <f t="shared" si="22"/>
        <v>March</v>
      </c>
      <c r="E331" s="1" t="str">
        <f t="shared" si="23"/>
        <v>2023</v>
      </c>
      <c r="F331" t="s">
        <v>16</v>
      </c>
      <c r="G331" s="5">
        <v>1573.24137653763</v>
      </c>
      <c r="H331" s="10">
        <v>7</v>
      </c>
      <c r="I331" s="2">
        <v>188.29786746170601</v>
      </c>
      <c r="J331" t="s">
        <v>8</v>
      </c>
    </row>
    <row r="332" spans="1:10" x14ac:dyDescent="0.25">
      <c r="A332" t="s">
        <v>81</v>
      </c>
      <c r="B332" s="1">
        <f t="shared" si="20"/>
        <v>44993</v>
      </c>
      <c r="C332" s="1" t="str">
        <f t="shared" si="21"/>
        <v>Wednesday</v>
      </c>
      <c r="D332" s="1" t="str">
        <f t="shared" si="22"/>
        <v>March</v>
      </c>
      <c r="E332" s="1" t="str">
        <f t="shared" si="23"/>
        <v>2023</v>
      </c>
      <c r="F332" t="s">
        <v>7</v>
      </c>
      <c r="G332" s="5">
        <v>96.688477930999994</v>
      </c>
      <c r="H332" s="10">
        <v>19</v>
      </c>
      <c r="I332" s="2">
        <v>168.843521708422</v>
      </c>
      <c r="J332" t="s">
        <v>10</v>
      </c>
    </row>
    <row r="333" spans="1:10" x14ac:dyDescent="0.25">
      <c r="A333" t="s">
        <v>81</v>
      </c>
      <c r="B333" s="1">
        <f t="shared" si="20"/>
        <v>44993</v>
      </c>
      <c r="C333" s="1" t="str">
        <f t="shared" si="21"/>
        <v>Wednesday</v>
      </c>
      <c r="D333" s="1" t="str">
        <f t="shared" si="22"/>
        <v>March</v>
      </c>
      <c r="E333" s="1" t="str">
        <f t="shared" si="23"/>
        <v>2023</v>
      </c>
      <c r="F333" t="s">
        <v>9</v>
      </c>
      <c r="G333" s="5">
        <v>389.427927812348</v>
      </c>
      <c r="H333" s="10">
        <v>2</v>
      </c>
      <c r="I333" s="2">
        <v>70.910152474515897</v>
      </c>
      <c r="J333" t="s">
        <v>8</v>
      </c>
    </row>
    <row r="334" spans="1:10" x14ac:dyDescent="0.25">
      <c r="A334" t="s">
        <v>81</v>
      </c>
      <c r="B334" s="1">
        <f t="shared" si="20"/>
        <v>44993</v>
      </c>
      <c r="C334" s="1" t="str">
        <f t="shared" si="21"/>
        <v>Wednesday</v>
      </c>
      <c r="D334" s="1" t="str">
        <f t="shared" si="22"/>
        <v>March</v>
      </c>
      <c r="E334" s="1" t="str">
        <f t="shared" si="23"/>
        <v>2023</v>
      </c>
      <c r="F334" t="s">
        <v>11</v>
      </c>
      <c r="G334" s="5">
        <v>126.68568178291</v>
      </c>
      <c r="H334" s="10">
        <v>11</v>
      </c>
      <c r="I334" s="2">
        <v>170.66686830518401</v>
      </c>
      <c r="J334" t="s">
        <v>12</v>
      </c>
    </row>
    <row r="335" spans="1:10" x14ac:dyDescent="0.25">
      <c r="A335" t="s">
        <v>81</v>
      </c>
      <c r="B335" s="1">
        <f t="shared" si="20"/>
        <v>44993</v>
      </c>
      <c r="C335" s="1" t="str">
        <f t="shared" si="21"/>
        <v>Wednesday</v>
      </c>
      <c r="D335" s="1" t="str">
        <f t="shared" si="22"/>
        <v>March</v>
      </c>
      <c r="E335" s="1" t="str">
        <f t="shared" si="23"/>
        <v>2023</v>
      </c>
      <c r="F335" t="s">
        <v>13</v>
      </c>
      <c r="G335" s="5">
        <v>1349.7741146114199</v>
      </c>
      <c r="H335" s="10">
        <v>15</v>
      </c>
      <c r="I335" s="2">
        <v>410.53351434661698</v>
      </c>
      <c r="J335" t="s">
        <v>12</v>
      </c>
    </row>
    <row r="336" spans="1:10" x14ac:dyDescent="0.25">
      <c r="A336" t="s">
        <v>81</v>
      </c>
      <c r="B336" s="1">
        <f t="shared" si="20"/>
        <v>44993</v>
      </c>
      <c r="C336" s="1" t="str">
        <f t="shared" si="21"/>
        <v>Wednesday</v>
      </c>
      <c r="D336" s="1" t="str">
        <f t="shared" si="22"/>
        <v>March</v>
      </c>
      <c r="E336" s="1" t="str">
        <f t="shared" si="23"/>
        <v>2023</v>
      </c>
      <c r="F336" t="s">
        <v>16</v>
      </c>
      <c r="G336" s="5">
        <v>1129.2527331199999</v>
      </c>
      <c r="H336" s="10">
        <v>5</v>
      </c>
      <c r="I336" s="2">
        <v>329.24223240669102</v>
      </c>
      <c r="J336" t="s">
        <v>12</v>
      </c>
    </row>
    <row r="337" spans="1:10" x14ac:dyDescent="0.25">
      <c r="A337" t="s">
        <v>82</v>
      </c>
      <c r="B337" s="1">
        <f t="shared" si="20"/>
        <v>44994</v>
      </c>
      <c r="C337" s="1" t="str">
        <f t="shared" si="21"/>
        <v>Thursday</v>
      </c>
      <c r="D337" s="1" t="str">
        <f t="shared" si="22"/>
        <v>March</v>
      </c>
      <c r="E337" s="1" t="str">
        <f t="shared" si="23"/>
        <v>2023</v>
      </c>
      <c r="F337" t="s">
        <v>7</v>
      </c>
      <c r="G337" s="5">
        <v>172.99229923850001</v>
      </c>
      <c r="H337" s="10">
        <v>19</v>
      </c>
      <c r="I337" s="2">
        <v>195.568470060126</v>
      </c>
      <c r="J337" t="s">
        <v>10</v>
      </c>
    </row>
    <row r="338" spans="1:10" x14ac:dyDescent="0.25">
      <c r="A338" t="s">
        <v>82</v>
      </c>
      <c r="B338" s="1">
        <f t="shared" si="20"/>
        <v>44994</v>
      </c>
      <c r="C338" s="1" t="str">
        <f t="shared" si="21"/>
        <v>Thursday</v>
      </c>
      <c r="D338" s="1" t="str">
        <f t="shared" si="22"/>
        <v>March</v>
      </c>
      <c r="E338" s="1" t="str">
        <f t="shared" si="23"/>
        <v>2023</v>
      </c>
      <c r="F338" t="s">
        <v>9</v>
      </c>
      <c r="G338" s="5">
        <v>665.24258723845003</v>
      </c>
      <c r="H338" s="10">
        <v>6</v>
      </c>
      <c r="I338" s="2">
        <v>112.38004326924001</v>
      </c>
      <c r="J338" t="s">
        <v>8</v>
      </c>
    </row>
    <row r="339" spans="1:10" x14ac:dyDescent="0.25">
      <c r="A339" t="s">
        <v>82</v>
      </c>
      <c r="B339" s="1">
        <f t="shared" si="20"/>
        <v>44994</v>
      </c>
      <c r="C339" s="1" t="str">
        <f t="shared" si="21"/>
        <v>Thursday</v>
      </c>
      <c r="D339" s="1" t="str">
        <f t="shared" si="22"/>
        <v>March</v>
      </c>
      <c r="E339" s="1" t="str">
        <f t="shared" si="23"/>
        <v>2023</v>
      </c>
      <c r="F339" t="s">
        <v>11</v>
      </c>
      <c r="G339" s="5">
        <v>648.59797877999995</v>
      </c>
      <c r="H339" s="10">
        <v>3</v>
      </c>
      <c r="I339" s="2">
        <v>70.917752441820099</v>
      </c>
      <c r="J339" t="s">
        <v>8</v>
      </c>
    </row>
    <row r="340" spans="1:10" x14ac:dyDescent="0.25">
      <c r="A340" t="s">
        <v>82</v>
      </c>
      <c r="B340" s="1">
        <f t="shared" si="20"/>
        <v>44994</v>
      </c>
      <c r="C340" s="1" t="str">
        <f t="shared" si="21"/>
        <v>Thursday</v>
      </c>
      <c r="D340" s="1" t="str">
        <f t="shared" si="22"/>
        <v>March</v>
      </c>
      <c r="E340" s="1" t="str">
        <f t="shared" si="23"/>
        <v>2023</v>
      </c>
      <c r="F340" t="s">
        <v>13</v>
      </c>
      <c r="G340" s="5">
        <v>115.72663875712</v>
      </c>
      <c r="H340" s="10">
        <v>12</v>
      </c>
      <c r="I340" s="2">
        <v>278.43323748183599</v>
      </c>
      <c r="J340" t="s">
        <v>14</v>
      </c>
    </row>
    <row r="341" spans="1:10" x14ac:dyDescent="0.25">
      <c r="A341" t="s">
        <v>82</v>
      </c>
      <c r="B341" s="1">
        <f t="shared" si="20"/>
        <v>44994</v>
      </c>
      <c r="C341" s="1" t="str">
        <f t="shared" si="21"/>
        <v>Thursday</v>
      </c>
      <c r="D341" s="1" t="str">
        <f t="shared" si="22"/>
        <v>March</v>
      </c>
      <c r="E341" s="1" t="str">
        <f t="shared" si="23"/>
        <v>2023</v>
      </c>
      <c r="F341" t="s">
        <v>16</v>
      </c>
      <c r="G341" s="5">
        <v>1516.2498913586001</v>
      </c>
      <c r="H341" s="10">
        <v>14</v>
      </c>
      <c r="I341" s="2">
        <v>244.283459014882</v>
      </c>
      <c r="J341" t="s">
        <v>8</v>
      </c>
    </row>
    <row r="342" spans="1:10" x14ac:dyDescent="0.25">
      <c r="A342" t="s">
        <v>83</v>
      </c>
      <c r="B342" s="1">
        <f t="shared" si="20"/>
        <v>44995</v>
      </c>
      <c r="C342" s="1" t="str">
        <f t="shared" si="21"/>
        <v>Friday</v>
      </c>
      <c r="D342" s="1" t="str">
        <f t="shared" si="22"/>
        <v>March</v>
      </c>
      <c r="E342" s="1" t="str">
        <f t="shared" si="23"/>
        <v>2023</v>
      </c>
      <c r="F342" t="s">
        <v>7</v>
      </c>
      <c r="G342" s="5">
        <v>1212.3146623748801</v>
      </c>
      <c r="H342" s="10">
        <v>14</v>
      </c>
      <c r="I342" s="2">
        <v>314.11838856900101</v>
      </c>
      <c r="J342" t="s">
        <v>10</v>
      </c>
    </row>
    <row r="343" spans="1:10" x14ac:dyDescent="0.25">
      <c r="A343" t="s">
        <v>83</v>
      </c>
      <c r="B343" s="1">
        <f t="shared" si="20"/>
        <v>44995</v>
      </c>
      <c r="C343" s="1" t="str">
        <f t="shared" si="21"/>
        <v>Friday</v>
      </c>
      <c r="D343" s="1" t="str">
        <f t="shared" si="22"/>
        <v>March</v>
      </c>
      <c r="E343" s="1" t="str">
        <f t="shared" si="23"/>
        <v>2023</v>
      </c>
      <c r="F343" t="s">
        <v>9</v>
      </c>
      <c r="G343" s="5">
        <v>1216.7622487199999</v>
      </c>
      <c r="H343" s="10">
        <v>3</v>
      </c>
      <c r="I343" s="2">
        <v>412.53020375469498</v>
      </c>
      <c r="J343" t="s">
        <v>14</v>
      </c>
    </row>
    <row r="344" spans="1:10" x14ac:dyDescent="0.25">
      <c r="A344" t="s">
        <v>83</v>
      </c>
      <c r="B344" s="1">
        <f t="shared" si="20"/>
        <v>44995</v>
      </c>
      <c r="C344" s="1" t="str">
        <f t="shared" si="21"/>
        <v>Friday</v>
      </c>
      <c r="D344" s="1" t="str">
        <f t="shared" si="22"/>
        <v>March</v>
      </c>
      <c r="E344" s="1" t="str">
        <f t="shared" si="23"/>
        <v>2023</v>
      </c>
      <c r="F344" t="s">
        <v>11</v>
      </c>
      <c r="G344" s="5">
        <v>1374.7653</v>
      </c>
      <c r="H344" s="10">
        <v>14</v>
      </c>
      <c r="I344" s="2">
        <v>384.24306550277601</v>
      </c>
      <c r="J344" t="s">
        <v>12</v>
      </c>
    </row>
    <row r="345" spans="1:10" x14ac:dyDescent="0.25">
      <c r="A345" t="s">
        <v>83</v>
      </c>
      <c r="B345" s="1">
        <f t="shared" si="20"/>
        <v>44995</v>
      </c>
      <c r="C345" s="1" t="str">
        <f t="shared" si="21"/>
        <v>Friday</v>
      </c>
      <c r="D345" s="1" t="str">
        <f t="shared" si="22"/>
        <v>March</v>
      </c>
      <c r="E345" s="1" t="str">
        <f t="shared" si="23"/>
        <v>2023</v>
      </c>
      <c r="F345" t="s">
        <v>13</v>
      </c>
      <c r="G345" s="5">
        <v>1147.4213715840001</v>
      </c>
      <c r="H345" s="10">
        <v>12</v>
      </c>
      <c r="I345" s="2">
        <v>199.95192751489401</v>
      </c>
      <c r="J345" t="s">
        <v>8</v>
      </c>
    </row>
    <row r="346" spans="1:10" x14ac:dyDescent="0.25">
      <c r="A346" t="s">
        <v>83</v>
      </c>
      <c r="B346" s="1">
        <f t="shared" si="20"/>
        <v>44995</v>
      </c>
      <c r="C346" s="1" t="str">
        <f t="shared" si="21"/>
        <v>Friday</v>
      </c>
      <c r="D346" s="1" t="str">
        <f t="shared" si="22"/>
        <v>March</v>
      </c>
      <c r="E346" s="1" t="str">
        <f t="shared" si="23"/>
        <v>2023</v>
      </c>
      <c r="F346" t="s">
        <v>16</v>
      </c>
      <c r="G346" s="5">
        <v>987.95261486695995</v>
      </c>
      <c r="H346" s="10">
        <v>2</v>
      </c>
      <c r="I346" s="2">
        <v>335.18044116188599</v>
      </c>
      <c r="J346" t="s">
        <v>10</v>
      </c>
    </row>
    <row r="347" spans="1:10" x14ac:dyDescent="0.25">
      <c r="A347" t="s">
        <v>84</v>
      </c>
      <c r="B347" s="1">
        <f t="shared" si="20"/>
        <v>44996</v>
      </c>
      <c r="C347" s="1" t="str">
        <f t="shared" si="21"/>
        <v>Saturday</v>
      </c>
      <c r="D347" s="1" t="str">
        <f t="shared" si="22"/>
        <v>March</v>
      </c>
      <c r="E347" s="1" t="str">
        <f t="shared" si="23"/>
        <v>2023</v>
      </c>
      <c r="F347" t="s">
        <v>7</v>
      </c>
      <c r="G347" s="5">
        <v>57.767469364584997</v>
      </c>
      <c r="H347" s="10">
        <v>13</v>
      </c>
      <c r="I347" s="2">
        <v>82.689476400846999</v>
      </c>
      <c r="J347" t="s">
        <v>8</v>
      </c>
    </row>
    <row r="348" spans="1:10" x14ac:dyDescent="0.25">
      <c r="A348" t="s">
        <v>84</v>
      </c>
      <c r="B348" s="1">
        <f t="shared" si="20"/>
        <v>44996</v>
      </c>
      <c r="C348" s="1" t="str">
        <f t="shared" si="21"/>
        <v>Saturday</v>
      </c>
      <c r="D348" s="1" t="str">
        <f t="shared" si="22"/>
        <v>March</v>
      </c>
      <c r="E348" s="1" t="str">
        <f t="shared" si="23"/>
        <v>2023</v>
      </c>
      <c r="F348" t="s">
        <v>9</v>
      </c>
      <c r="G348" s="5">
        <v>948.89536399240001</v>
      </c>
      <c r="H348" s="10">
        <v>14</v>
      </c>
      <c r="I348" s="2">
        <v>372.03977284320803</v>
      </c>
      <c r="J348" t="s">
        <v>12</v>
      </c>
    </row>
    <row r="349" spans="1:10" x14ac:dyDescent="0.25">
      <c r="A349" t="s">
        <v>84</v>
      </c>
      <c r="B349" s="1">
        <f t="shared" si="20"/>
        <v>44996</v>
      </c>
      <c r="C349" s="1" t="str">
        <f t="shared" si="21"/>
        <v>Saturday</v>
      </c>
      <c r="D349" s="1" t="str">
        <f t="shared" si="22"/>
        <v>March</v>
      </c>
      <c r="E349" s="1" t="str">
        <f t="shared" si="23"/>
        <v>2023</v>
      </c>
      <c r="F349" t="s">
        <v>11</v>
      </c>
      <c r="G349" s="5">
        <v>793.55292969918003</v>
      </c>
      <c r="H349" s="10">
        <v>11</v>
      </c>
      <c r="I349" s="2">
        <v>244.80650839056099</v>
      </c>
      <c r="J349" t="s">
        <v>8</v>
      </c>
    </row>
    <row r="350" spans="1:10" x14ac:dyDescent="0.25">
      <c r="A350" t="s">
        <v>84</v>
      </c>
      <c r="B350" s="1">
        <f t="shared" si="20"/>
        <v>44996</v>
      </c>
      <c r="C350" s="1" t="str">
        <f t="shared" si="21"/>
        <v>Saturday</v>
      </c>
      <c r="D350" s="1" t="str">
        <f t="shared" si="22"/>
        <v>March</v>
      </c>
      <c r="E350" s="1" t="str">
        <f t="shared" si="23"/>
        <v>2023</v>
      </c>
      <c r="F350" t="s">
        <v>13</v>
      </c>
      <c r="G350" s="5">
        <v>1281.954431589</v>
      </c>
      <c r="H350" s="10">
        <v>9</v>
      </c>
      <c r="I350" s="2">
        <v>221.28264728609699</v>
      </c>
      <c r="J350" t="s">
        <v>8</v>
      </c>
    </row>
    <row r="351" spans="1:10" x14ac:dyDescent="0.25">
      <c r="A351" t="s">
        <v>84</v>
      </c>
      <c r="B351" s="1">
        <f t="shared" si="20"/>
        <v>44996</v>
      </c>
      <c r="C351" s="1" t="str">
        <f t="shared" si="21"/>
        <v>Saturday</v>
      </c>
      <c r="D351" s="1" t="str">
        <f t="shared" si="22"/>
        <v>March</v>
      </c>
      <c r="E351" s="1" t="str">
        <f t="shared" si="23"/>
        <v>2023</v>
      </c>
      <c r="F351" t="s">
        <v>16</v>
      </c>
      <c r="G351" s="5">
        <v>1253.84634138</v>
      </c>
      <c r="H351" s="10">
        <v>14</v>
      </c>
      <c r="I351" s="2">
        <v>178.97885360000001</v>
      </c>
      <c r="J351" t="s">
        <v>14</v>
      </c>
    </row>
    <row r="352" spans="1:10" x14ac:dyDescent="0.25">
      <c r="A352" t="s">
        <v>85</v>
      </c>
      <c r="B352" s="1">
        <f t="shared" si="20"/>
        <v>44997</v>
      </c>
      <c r="C352" s="1" t="str">
        <f t="shared" si="21"/>
        <v>Sunday</v>
      </c>
      <c r="D352" s="1" t="str">
        <f t="shared" si="22"/>
        <v>March</v>
      </c>
      <c r="E352" s="1" t="str">
        <f t="shared" si="23"/>
        <v>2023</v>
      </c>
      <c r="F352" t="s">
        <v>7</v>
      </c>
      <c r="G352" s="5">
        <v>558.24748658769704</v>
      </c>
      <c r="H352" s="10">
        <v>1</v>
      </c>
      <c r="I352" s="2">
        <v>149.55148993737399</v>
      </c>
      <c r="J352" t="s">
        <v>14</v>
      </c>
    </row>
    <row r="353" spans="1:10" x14ac:dyDescent="0.25">
      <c r="A353" t="s">
        <v>85</v>
      </c>
      <c r="B353" s="1">
        <f t="shared" si="20"/>
        <v>44997</v>
      </c>
      <c r="C353" s="1" t="str">
        <f t="shared" si="21"/>
        <v>Sunday</v>
      </c>
      <c r="D353" s="1" t="str">
        <f t="shared" si="22"/>
        <v>March</v>
      </c>
      <c r="E353" s="1" t="str">
        <f t="shared" si="23"/>
        <v>2023</v>
      </c>
      <c r="F353" t="s">
        <v>9</v>
      </c>
      <c r="G353" s="5">
        <v>973.91311957742005</v>
      </c>
      <c r="H353" s="10">
        <v>18</v>
      </c>
      <c r="I353" s="2">
        <v>192.61213001855</v>
      </c>
      <c r="J353" t="s">
        <v>12</v>
      </c>
    </row>
    <row r="354" spans="1:10" x14ac:dyDescent="0.25">
      <c r="A354" t="s">
        <v>85</v>
      </c>
      <c r="B354" s="1">
        <f t="shared" si="20"/>
        <v>44997</v>
      </c>
      <c r="C354" s="1" t="str">
        <f t="shared" si="21"/>
        <v>Sunday</v>
      </c>
      <c r="D354" s="1" t="str">
        <f t="shared" si="22"/>
        <v>March</v>
      </c>
      <c r="E354" s="1" t="str">
        <f t="shared" si="23"/>
        <v>2023</v>
      </c>
      <c r="F354" t="s">
        <v>11</v>
      </c>
      <c r="G354" s="5">
        <v>781.46151349589695</v>
      </c>
      <c r="H354" s="10">
        <v>1</v>
      </c>
      <c r="I354" s="2">
        <v>453.971936779788</v>
      </c>
      <c r="J354" t="s">
        <v>12</v>
      </c>
    </row>
    <row r="355" spans="1:10" x14ac:dyDescent="0.25">
      <c r="A355" t="s">
        <v>85</v>
      </c>
      <c r="B355" s="1">
        <f t="shared" si="20"/>
        <v>44997</v>
      </c>
      <c r="C355" s="1" t="str">
        <f t="shared" si="21"/>
        <v>Sunday</v>
      </c>
      <c r="D355" s="1" t="str">
        <f t="shared" si="22"/>
        <v>March</v>
      </c>
      <c r="E355" s="1" t="str">
        <f t="shared" si="23"/>
        <v>2023</v>
      </c>
      <c r="F355" t="s">
        <v>13</v>
      </c>
      <c r="G355" s="5">
        <v>127.4757216812</v>
      </c>
      <c r="H355" s="10">
        <v>7</v>
      </c>
      <c r="I355" s="2">
        <v>143.656236707061</v>
      </c>
      <c r="J355" t="s">
        <v>10</v>
      </c>
    </row>
    <row r="356" spans="1:10" x14ac:dyDescent="0.25">
      <c r="A356" t="s">
        <v>85</v>
      </c>
      <c r="B356" s="1">
        <f t="shared" si="20"/>
        <v>44997</v>
      </c>
      <c r="C356" s="1" t="str">
        <f t="shared" si="21"/>
        <v>Sunday</v>
      </c>
      <c r="D356" s="1" t="str">
        <f t="shared" si="22"/>
        <v>March</v>
      </c>
      <c r="E356" s="1" t="str">
        <f t="shared" si="23"/>
        <v>2023</v>
      </c>
      <c r="F356" t="s">
        <v>16</v>
      </c>
      <c r="G356" s="5">
        <v>1189.6348338509999</v>
      </c>
      <c r="H356" s="10">
        <v>15</v>
      </c>
      <c r="I356" s="2">
        <v>190.39519359688899</v>
      </c>
      <c r="J356" t="s">
        <v>10</v>
      </c>
    </row>
    <row r="357" spans="1:10" x14ac:dyDescent="0.25">
      <c r="A357" t="s">
        <v>86</v>
      </c>
      <c r="B357" s="1">
        <f t="shared" si="20"/>
        <v>44998</v>
      </c>
      <c r="C357" s="1" t="str">
        <f t="shared" si="21"/>
        <v>Monday</v>
      </c>
      <c r="D357" s="1" t="str">
        <f t="shared" si="22"/>
        <v>March</v>
      </c>
      <c r="E357" s="1" t="str">
        <f t="shared" si="23"/>
        <v>2023</v>
      </c>
      <c r="F357" t="s">
        <v>7</v>
      </c>
      <c r="G357" s="5">
        <v>76.375600000000006</v>
      </c>
      <c r="H357" s="10">
        <v>12</v>
      </c>
      <c r="I357" s="2">
        <v>92.796076354245201</v>
      </c>
      <c r="J357" t="s">
        <v>10</v>
      </c>
    </row>
    <row r="358" spans="1:10" x14ac:dyDescent="0.25">
      <c r="A358" t="s">
        <v>86</v>
      </c>
      <c r="B358" s="1">
        <f t="shared" si="20"/>
        <v>44998</v>
      </c>
      <c r="C358" s="1" t="str">
        <f t="shared" si="21"/>
        <v>Monday</v>
      </c>
      <c r="D358" s="1" t="str">
        <f t="shared" si="22"/>
        <v>March</v>
      </c>
      <c r="E358" s="1" t="str">
        <f t="shared" si="23"/>
        <v>2023</v>
      </c>
      <c r="F358" t="s">
        <v>9</v>
      </c>
      <c r="G358" s="5">
        <v>792.354336376932</v>
      </c>
      <c r="H358" s="10">
        <v>9</v>
      </c>
      <c r="I358" s="2">
        <v>472.36354590000002</v>
      </c>
      <c r="J358" t="s">
        <v>14</v>
      </c>
    </row>
    <row r="359" spans="1:10" x14ac:dyDescent="0.25">
      <c r="A359" t="s">
        <v>86</v>
      </c>
      <c r="B359" s="1">
        <f t="shared" si="20"/>
        <v>44998</v>
      </c>
      <c r="C359" s="1" t="str">
        <f t="shared" si="21"/>
        <v>Monday</v>
      </c>
      <c r="D359" s="1" t="str">
        <f t="shared" si="22"/>
        <v>March</v>
      </c>
      <c r="E359" s="1" t="str">
        <f t="shared" si="23"/>
        <v>2023</v>
      </c>
      <c r="F359" t="s">
        <v>11</v>
      </c>
      <c r="G359" s="5">
        <v>1414.9435261680001</v>
      </c>
      <c r="H359" s="10">
        <v>8</v>
      </c>
      <c r="I359" s="2">
        <v>444.61214899894298</v>
      </c>
      <c r="J359" t="s">
        <v>12</v>
      </c>
    </row>
    <row r="360" spans="1:10" x14ac:dyDescent="0.25">
      <c r="A360" t="s">
        <v>86</v>
      </c>
      <c r="B360" s="1">
        <f t="shared" si="20"/>
        <v>44998</v>
      </c>
      <c r="C360" s="1" t="str">
        <f t="shared" si="21"/>
        <v>Monday</v>
      </c>
      <c r="D360" s="1" t="str">
        <f t="shared" si="22"/>
        <v>March</v>
      </c>
      <c r="E360" s="1" t="str">
        <f t="shared" si="23"/>
        <v>2023</v>
      </c>
      <c r="F360" t="s">
        <v>13</v>
      </c>
      <c r="G360" s="5">
        <v>1155.428315352</v>
      </c>
      <c r="H360" s="10">
        <v>7</v>
      </c>
      <c r="I360" s="2">
        <v>344.59945909999999</v>
      </c>
      <c r="J360" t="s">
        <v>14</v>
      </c>
    </row>
    <row r="361" spans="1:10" x14ac:dyDescent="0.25">
      <c r="A361" t="s">
        <v>86</v>
      </c>
      <c r="B361" s="1">
        <f t="shared" si="20"/>
        <v>44998</v>
      </c>
      <c r="C361" s="1" t="str">
        <f t="shared" si="21"/>
        <v>Monday</v>
      </c>
      <c r="D361" s="1" t="str">
        <f t="shared" si="22"/>
        <v>March</v>
      </c>
      <c r="E361" s="1" t="str">
        <f t="shared" si="23"/>
        <v>2023</v>
      </c>
      <c r="F361" t="s">
        <v>16</v>
      </c>
      <c r="G361" s="5">
        <v>1392.3959911423001</v>
      </c>
      <c r="H361" s="10">
        <v>4</v>
      </c>
      <c r="I361" s="2">
        <v>388.816497894051</v>
      </c>
      <c r="J361" t="s">
        <v>12</v>
      </c>
    </row>
    <row r="362" spans="1:10" x14ac:dyDescent="0.25">
      <c r="A362" t="s">
        <v>87</v>
      </c>
      <c r="B362" s="1">
        <f t="shared" si="20"/>
        <v>44999</v>
      </c>
      <c r="C362" s="1" t="str">
        <f t="shared" si="21"/>
        <v>Tuesday</v>
      </c>
      <c r="D362" s="1" t="str">
        <f t="shared" si="22"/>
        <v>March</v>
      </c>
      <c r="E362" s="1" t="str">
        <f t="shared" si="23"/>
        <v>2023</v>
      </c>
      <c r="F362" t="s">
        <v>7</v>
      </c>
      <c r="G362" s="5">
        <v>1622.57826178757</v>
      </c>
      <c r="H362" s="10">
        <v>9</v>
      </c>
      <c r="I362" s="2">
        <v>242.088424018159</v>
      </c>
      <c r="J362" t="s">
        <v>12</v>
      </c>
    </row>
    <row r="363" spans="1:10" x14ac:dyDescent="0.25">
      <c r="A363" t="s">
        <v>87</v>
      </c>
      <c r="B363" s="1">
        <f t="shared" si="20"/>
        <v>44999</v>
      </c>
      <c r="C363" s="1" t="str">
        <f t="shared" si="21"/>
        <v>Tuesday</v>
      </c>
      <c r="D363" s="1" t="str">
        <f t="shared" si="22"/>
        <v>March</v>
      </c>
      <c r="E363" s="1" t="str">
        <f t="shared" si="23"/>
        <v>2023</v>
      </c>
      <c r="F363" t="s">
        <v>9</v>
      </c>
      <c r="G363" s="5">
        <v>793.24365457312899</v>
      </c>
      <c r="H363" s="10">
        <v>11</v>
      </c>
      <c r="I363" s="2">
        <v>251.813586243163</v>
      </c>
      <c r="J363" t="s">
        <v>14</v>
      </c>
    </row>
    <row r="364" spans="1:10" x14ac:dyDescent="0.25">
      <c r="A364" t="s">
        <v>87</v>
      </c>
      <c r="B364" s="1">
        <f t="shared" si="20"/>
        <v>44999</v>
      </c>
      <c r="C364" s="1" t="str">
        <f t="shared" si="21"/>
        <v>Tuesday</v>
      </c>
      <c r="D364" s="1" t="str">
        <f t="shared" si="22"/>
        <v>March</v>
      </c>
      <c r="E364" s="1" t="str">
        <f t="shared" si="23"/>
        <v>2023</v>
      </c>
      <c r="F364" t="s">
        <v>11</v>
      </c>
      <c r="G364" s="5">
        <v>84.574598915665007</v>
      </c>
      <c r="H364" s="10">
        <v>13</v>
      </c>
      <c r="I364" s="2">
        <v>229.080576993476</v>
      </c>
      <c r="J364" t="s">
        <v>10</v>
      </c>
    </row>
    <row r="365" spans="1:10" x14ac:dyDescent="0.25">
      <c r="A365" t="s">
        <v>87</v>
      </c>
      <c r="B365" s="1">
        <f t="shared" si="20"/>
        <v>44999</v>
      </c>
      <c r="C365" s="1" t="str">
        <f t="shared" si="21"/>
        <v>Tuesday</v>
      </c>
      <c r="D365" s="1" t="str">
        <f t="shared" si="22"/>
        <v>March</v>
      </c>
      <c r="E365" s="1" t="str">
        <f t="shared" si="23"/>
        <v>2023</v>
      </c>
      <c r="F365" t="s">
        <v>13</v>
      </c>
      <c r="G365" s="5">
        <v>746.15692945599994</v>
      </c>
      <c r="H365" s="10">
        <v>14</v>
      </c>
      <c r="I365" s="2">
        <v>171.880443402552</v>
      </c>
      <c r="J365" t="s">
        <v>14</v>
      </c>
    </row>
    <row r="366" spans="1:10" x14ac:dyDescent="0.25">
      <c r="A366" t="s">
        <v>87</v>
      </c>
      <c r="B366" s="1">
        <f t="shared" si="20"/>
        <v>44999</v>
      </c>
      <c r="C366" s="1" t="str">
        <f t="shared" si="21"/>
        <v>Tuesday</v>
      </c>
      <c r="D366" s="1" t="str">
        <f t="shared" si="22"/>
        <v>March</v>
      </c>
      <c r="E366" s="1" t="str">
        <f t="shared" si="23"/>
        <v>2023</v>
      </c>
      <c r="F366" t="s">
        <v>16</v>
      </c>
      <c r="G366" s="5">
        <v>944.18348457135005</v>
      </c>
      <c r="H366" s="10">
        <v>19</v>
      </c>
      <c r="I366" s="2">
        <v>140.21284752101801</v>
      </c>
      <c r="J366" t="s">
        <v>12</v>
      </c>
    </row>
    <row r="367" spans="1:10" x14ac:dyDescent="0.25">
      <c r="A367" t="s">
        <v>88</v>
      </c>
      <c r="B367" s="1">
        <f t="shared" si="20"/>
        <v>45000</v>
      </c>
      <c r="C367" s="1" t="str">
        <f t="shared" si="21"/>
        <v>Wednesday</v>
      </c>
      <c r="D367" s="1" t="str">
        <f t="shared" si="22"/>
        <v>March</v>
      </c>
      <c r="E367" s="1" t="str">
        <f t="shared" si="23"/>
        <v>2023</v>
      </c>
      <c r="F367" t="s">
        <v>7</v>
      </c>
      <c r="G367" s="5">
        <v>1312.8295527533201</v>
      </c>
      <c r="H367" s="10">
        <v>18</v>
      </c>
      <c r="I367" s="2">
        <v>388.56985448801998</v>
      </c>
      <c r="J367" t="s">
        <v>8</v>
      </c>
    </row>
    <row r="368" spans="1:10" x14ac:dyDescent="0.25">
      <c r="A368" t="s">
        <v>88</v>
      </c>
      <c r="B368" s="1">
        <f t="shared" si="20"/>
        <v>45000</v>
      </c>
      <c r="C368" s="1" t="str">
        <f t="shared" si="21"/>
        <v>Wednesday</v>
      </c>
      <c r="D368" s="1" t="str">
        <f t="shared" si="22"/>
        <v>March</v>
      </c>
      <c r="E368" s="1" t="str">
        <f t="shared" si="23"/>
        <v>2023</v>
      </c>
      <c r="F368" t="s">
        <v>9</v>
      </c>
      <c r="G368" s="5">
        <v>661.65183384967997</v>
      </c>
      <c r="H368" s="10">
        <v>3</v>
      </c>
      <c r="I368" s="2">
        <v>109.945585219197</v>
      </c>
      <c r="J368" t="s">
        <v>12</v>
      </c>
    </row>
    <row r="369" spans="1:10" x14ac:dyDescent="0.25">
      <c r="A369" t="s">
        <v>88</v>
      </c>
      <c r="B369" s="1">
        <f t="shared" si="20"/>
        <v>45000</v>
      </c>
      <c r="C369" s="1" t="str">
        <f t="shared" si="21"/>
        <v>Wednesday</v>
      </c>
      <c r="D369" s="1" t="str">
        <f t="shared" si="22"/>
        <v>March</v>
      </c>
      <c r="E369" s="1" t="str">
        <f t="shared" si="23"/>
        <v>2023</v>
      </c>
      <c r="F369" t="s">
        <v>11</v>
      </c>
      <c r="G369" s="5">
        <v>781.46151349589695</v>
      </c>
      <c r="H369" s="10">
        <v>15</v>
      </c>
      <c r="I369" s="2">
        <v>207.31960464831201</v>
      </c>
      <c r="J369" t="s">
        <v>14</v>
      </c>
    </row>
    <row r="370" spans="1:10" x14ac:dyDescent="0.25">
      <c r="A370" t="s">
        <v>88</v>
      </c>
      <c r="B370" s="1">
        <f t="shared" si="20"/>
        <v>45000</v>
      </c>
      <c r="C370" s="1" t="str">
        <f t="shared" si="21"/>
        <v>Wednesday</v>
      </c>
      <c r="D370" s="1" t="str">
        <f t="shared" si="22"/>
        <v>March</v>
      </c>
      <c r="E370" s="1" t="str">
        <f t="shared" si="23"/>
        <v>2023</v>
      </c>
      <c r="F370" t="s">
        <v>13</v>
      </c>
      <c r="G370" s="5">
        <v>1339.3758371193201</v>
      </c>
      <c r="H370" s="10">
        <v>5</v>
      </c>
      <c r="I370" s="2">
        <v>272.93867478136798</v>
      </c>
      <c r="J370" t="s">
        <v>14</v>
      </c>
    </row>
    <row r="371" spans="1:10" x14ac:dyDescent="0.25">
      <c r="A371" t="s">
        <v>88</v>
      </c>
      <c r="B371" s="1">
        <f t="shared" si="20"/>
        <v>45000</v>
      </c>
      <c r="C371" s="1" t="str">
        <f t="shared" si="21"/>
        <v>Wednesday</v>
      </c>
      <c r="D371" s="1" t="str">
        <f t="shared" si="22"/>
        <v>March</v>
      </c>
      <c r="E371" s="1" t="str">
        <f t="shared" si="23"/>
        <v>2023</v>
      </c>
      <c r="F371" t="s">
        <v>16</v>
      </c>
      <c r="G371" s="5">
        <v>917.57575144767395</v>
      </c>
      <c r="H371" s="10">
        <v>18</v>
      </c>
      <c r="I371" s="2">
        <v>330.42769811977399</v>
      </c>
      <c r="J371" t="s">
        <v>14</v>
      </c>
    </row>
    <row r="372" spans="1:10" x14ac:dyDescent="0.25">
      <c r="A372" t="s">
        <v>89</v>
      </c>
      <c r="B372" s="1">
        <f t="shared" si="20"/>
        <v>45001</v>
      </c>
      <c r="C372" s="1" t="str">
        <f t="shared" si="21"/>
        <v>Thursday</v>
      </c>
      <c r="D372" s="1" t="str">
        <f t="shared" si="22"/>
        <v>March</v>
      </c>
      <c r="E372" s="1" t="str">
        <f t="shared" si="23"/>
        <v>2023</v>
      </c>
      <c r="F372" t="s">
        <v>7</v>
      </c>
      <c r="G372" s="5">
        <v>877.16342656537995</v>
      </c>
      <c r="H372" s="10">
        <v>2</v>
      </c>
      <c r="I372" s="2">
        <v>215.782801520974</v>
      </c>
      <c r="J372" t="s">
        <v>12</v>
      </c>
    </row>
    <row r="373" spans="1:10" x14ac:dyDescent="0.25">
      <c r="A373" t="s">
        <v>89</v>
      </c>
      <c r="B373" s="1">
        <f t="shared" si="20"/>
        <v>45001</v>
      </c>
      <c r="C373" s="1" t="str">
        <f t="shared" si="21"/>
        <v>Thursday</v>
      </c>
      <c r="D373" s="1" t="str">
        <f t="shared" si="22"/>
        <v>March</v>
      </c>
      <c r="E373" s="1" t="str">
        <f t="shared" si="23"/>
        <v>2023</v>
      </c>
      <c r="F373" t="s">
        <v>9</v>
      </c>
      <c r="G373" s="5">
        <v>122.98483163752999</v>
      </c>
      <c r="H373" s="10">
        <v>15</v>
      </c>
      <c r="I373" s="2">
        <v>378.71978657710599</v>
      </c>
      <c r="J373" t="s">
        <v>12</v>
      </c>
    </row>
    <row r="374" spans="1:10" x14ac:dyDescent="0.25">
      <c r="A374" t="s">
        <v>89</v>
      </c>
      <c r="B374" s="1">
        <f t="shared" si="20"/>
        <v>45001</v>
      </c>
      <c r="C374" s="1" t="str">
        <f t="shared" si="21"/>
        <v>Thursday</v>
      </c>
      <c r="D374" s="1" t="str">
        <f t="shared" si="22"/>
        <v>March</v>
      </c>
      <c r="E374" s="1" t="str">
        <f t="shared" si="23"/>
        <v>2023</v>
      </c>
      <c r="F374" t="s">
        <v>11</v>
      </c>
      <c r="G374" s="5">
        <v>733.53677336582496</v>
      </c>
      <c r="H374" s="10">
        <v>3</v>
      </c>
      <c r="I374" s="2">
        <v>210.44434662314899</v>
      </c>
      <c r="J374" t="s">
        <v>14</v>
      </c>
    </row>
    <row r="375" spans="1:10" x14ac:dyDescent="0.25">
      <c r="A375" t="s">
        <v>89</v>
      </c>
      <c r="B375" s="1">
        <f t="shared" si="20"/>
        <v>45001</v>
      </c>
      <c r="C375" s="1" t="str">
        <f t="shared" si="21"/>
        <v>Thursday</v>
      </c>
      <c r="D375" s="1" t="str">
        <f t="shared" si="22"/>
        <v>March</v>
      </c>
      <c r="E375" s="1" t="str">
        <f t="shared" si="23"/>
        <v>2023</v>
      </c>
      <c r="F375" t="s">
        <v>13</v>
      </c>
      <c r="G375" s="5">
        <v>591.88124346630002</v>
      </c>
      <c r="H375" s="10">
        <v>15</v>
      </c>
      <c r="I375" s="2">
        <v>100.920980659699</v>
      </c>
      <c r="J375" t="s">
        <v>12</v>
      </c>
    </row>
    <row r="376" spans="1:10" x14ac:dyDescent="0.25">
      <c r="A376" t="s">
        <v>89</v>
      </c>
      <c r="B376" s="1">
        <f t="shared" si="20"/>
        <v>45001</v>
      </c>
      <c r="C376" s="1" t="str">
        <f t="shared" si="21"/>
        <v>Thursday</v>
      </c>
      <c r="D376" s="1" t="str">
        <f t="shared" si="22"/>
        <v>March</v>
      </c>
      <c r="E376" s="1" t="str">
        <f t="shared" si="23"/>
        <v>2023</v>
      </c>
      <c r="F376" t="s">
        <v>16</v>
      </c>
      <c r="G376" s="5">
        <v>1148.2955884820001</v>
      </c>
      <c r="H376" s="10">
        <v>10</v>
      </c>
      <c r="I376" s="2">
        <v>196.645724641258</v>
      </c>
      <c r="J376" t="s">
        <v>12</v>
      </c>
    </row>
    <row r="377" spans="1:10" x14ac:dyDescent="0.25">
      <c r="A377" t="s">
        <v>90</v>
      </c>
      <c r="B377" s="1">
        <f t="shared" si="20"/>
        <v>45002</v>
      </c>
      <c r="C377" s="1" t="str">
        <f t="shared" si="21"/>
        <v>Friday</v>
      </c>
      <c r="D377" s="1" t="str">
        <f t="shared" si="22"/>
        <v>March</v>
      </c>
      <c r="E377" s="1" t="str">
        <f t="shared" si="23"/>
        <v>2023</v>
      </c>
      <c r="F377" t="s">
        <v>7</v>
      </c>
      <c r="G377" s="5">
        <v>178.22129747170001</v>
      </c>
      <c r="H377" s="10">
        <v>2</v>
      </c>
      <c r="I377" s="2">
        <v>166.35913372867401</v>
      </c>
      <c r="J377" t="s">
        <v>8</v>
      </c>
    </row>
    <row r="378" spans="1:10" x14ac:dyDescent="0.25">
      <c r="A378" t="s">
        <v>90</v>
      </c>
      <c r="B378" s="1">
        <f t="shared" si="20"/>
        <v>45002</v>
      </c>
      <c r="C378" s="1" t="str">
        <f t="shared" si="21"/>
        <v>Friday</v>
      </c>
      <c r="D378" s="1" t="str">
        <f t="shared" si="22"/>
        <v>March</v>
      </c>
      <c r="E378" s="1" t="str">
        <f t="shared" si="23"/>
        <v>2023</v>
      </c>
      <c r="F378" t="s">
        <v>9</v>
      </c>
      <c r="G378" s="5">
        <v>967.82213000000002</v>
      </c>
      <c r="H378" s="10">
        <v>15</v>
      </c>
      <c r="I378" s="2">
        <v>268.92853990038401</v>
      </c>
      <c r="J378" t="s">
        <v>10</v>
      </c>
    </row>
    <row r="379" spans="1:10" x14ac:dyDescent="0.25">
      <c r="A379" t="s">
        <v>90</v>
      </c>
      <c r="B379" s="1">
        <f t="shared" si="20"/>
        <v>45002</v>
      </c>
      <c r="C379" s="1" t="str">
        <f t="shared" si="21"/>
        <v>Friday</v>
      </c>
      <c r="D379" s="1" t="str">
        <f t="shared" si="22"/>
        <v>March</v>
      </c>
      <c r="E379" s="1" t="str">
        <f t="shared" si="23"/>
        <v>2023</v>
      </c>
      <c r="F379" t="s">
        <v>11</v>
      </c>
      <c r="G379" s="5">
        <v>779.21442423999099</v>
      </c>
      <c r="H379" s="10">
        <v>2</v>
      </c>
      <c r="I379" s="2">
        <v>100.19018474592799</v>
      </c>
      <c r="J379" t="s">
        <v>8</v>
      </c>
    </row>
    <row r="380" spans="1:10" x14ac:dyDescent="0.25">
      <c r="A380" t="s">
        <v>90</v>
      </c>
      <c r="B380" s="1">
        <f t="shared" si="20"/>
        <v>45002</v>
      </c>
      <c r="C380" s="1" t="str">
        <f t="shared" si="21"/>
        <v>Friday</v>
      </c>
      <c r="D380" s="1" t="str">
        <f t="shared" si="22"/>
        <v>March</v>
      </c>
      <c r="E380" s="1" t="str">
        <f t="shared" si="23"/>
        <v>2023</v>
      </c>
      <c r="F380" t="s">
        <v>13</v>
      </c>
      <c r="G380" s="5">
        <v>1112.2841667319001</v>
      </c>
      <c r="H380" s="10">
        <v>2</v>
      </c>
      <c r="I380" s="2">
        <v>397.52572069637802</v>
      </c>
      <c r="J380" t="s">
        <v>8</v>
      </c>
    </row>
    <row r="381" spans="1:10" x14ac:dyDescent="0.25">
      <c r="A381" t="s">
        <v>90</v>
      </c>
      <c r="B381" s="1">
        <f t="shared" si="20"/>
        <v>45002</v>
      </c>
      <c r="C381" s="1" t="str">
        <f t="shared" si="21"/>
        <v>Friday</v>
      </c>
      <c r="D381" s="1" t="str">
        <f t="shared" si="22"/>
        <v>March</v>
      </c>
      <c r="E381" s="1" t="str">
        <f t="shared" si="23"/>
        <v>2023</v>
      </c>
      <c r="F381" t="s">
        <v>16</v>
      </c>
      <c r="G381" s="5">
        <v>973.94656686942005</v>
      </c>
      <c r="H381" s="10">
        <v>1</v>
      </c>
      <c r="I381" s="2">
        <v>323.39110528259403</v>
      </c>
      <c r="J381" t="s">
        <v>14</v>
      </c>
    </row>
    <row r="382" spans="1:10" x14ac:dyDescent="0.25">
      <c r="A382" t="s">
        <v>91</v>
      </c>
      <c r="B382" s="1">
        <f t="shared" si="20"/>
        <v>45003</v>
      </c>
      <c r="C382" s="1" t="str">
        <f t="shared" si="21"/>
        <v>Saturday</v>
      </c>
      <c r="D382" s="1" t="str">
        <f t="shared" si="22"/>
        <v>March</v>
      </c>
      <c r="E382" s="1" t="str">
        <f t="shared" si="23"/>
        <v>2023</v>
      </c>
      <c r="F382" t="s">
        <v>7</v>
      </c>
      <c r="G382" s="5">
        <v>578.11461142514997</v>
      </c>
      <c r="H382" s="10">
        <v>11</v>
      </c>
      <c r="I382" s="2">
        <v>211.07710282903699</v>
      </c>
      <c r="J382" t="s">
        <v>12</v>
      </c>
    </row>
    <row r="383" spans="1:10" x14ac:dyDescent="0.25">
      <c r="A383" t="s">
        <v>91</v>
      </c>
      <c r="B383" s="1">
        <f t="shared" si="20"/>
        <v>45003</v>
      </c>
      <c r="C383" s="1" t="str">
        <f t="shared" si="21"/>
        <v>Saturday</v>
      </c>
      <c r="D383" s="1" t="str">
        <f t="shared" si="22"/>
        <v>March</v>
      </c>
      <c r="E383" s="1" t="str">
        <f t="shared" si="23"/>
        <v>2023</v>
      </c>
      <c r="F383" t="s">
        <v>9</v>
      </c>
      <c r="G383" s="5">
        <v>834.21161528138998</v>
      </c>
      <c r="H383" s="10">
        <v>14</v>
      </c>
      <c r="I383" s="2">
        <v>166.23068378116</v>
      </c>
      <c r="J383" t="s">
        <v>8</v>
      </c>
    </row>
    <row r="384" spans="1:10" x14ac:dyDescent="0.25">
      <c r="A384" t="s">
        <v>91</v>
      </c>
      <c r="B384" s="1">
        <f t="shared" si="20"/>
        <v>45003</v>
      </c>
      <c r="C384" s="1" t="str">
        <f t="shared" si="21"/>
        <v>Saturday</v>
      </c>
      <c r="D384" s="1" t="str">
        <f t="shared" si="22"/>
        <v>March</v>
      </c>
      <c r="E384" s="1" t="str">
        <f t="shared" si="23"/>
        <v>2023</v>
      </c>
      <c r="F384" t="s">
        <v>11</v>
      </c>
      <c r="G384" s="5">
        <v>1298.884583414</v>
      </c>
      <c r="H384" s="10">
        <v>1</v>
      </c>
      <c r="I384" s="2">
        <v>305.01619672796397</v>
      </c>
      <c r="J384" t="s">
        <v>14</v>
      </c>
    </row>
    <row r="385" spans="1:10" x14ac:dyDescent="0.25">
      <c r="A385" t="s">
        <v>91</v>
      </c>
      <c r="B385" s="1">
        <f t="shared" si="20"/>
        <v>45003</v>
      </c>
      <c r="C385" s="1" t="str">
        <f t="shared" si="21"/>
        <v>Saturday</v>
      </c>
      <c r="D385" s="1" t="str">
        <f t="shared" si="22"/>
        <v>March</v>
      </c>
      <c r="E385" s="1" t="str">
        <f t="shared" si="23"/>
        <v>2023</v>
      </c>
      <c r="F385" t="s">
        <v>13</v>
      </c>
      <c r="G385" s="5">
        <v>851.87325516600004</v>
      </c>
      <c r="H385" s="10">
        <v>11</v>
      </c>
      <c r="I385" s="2">
        <v>327.60907410842799</v>
      </c>
      <c r="J385" t="s">
        <v>8</v>
      </c>
    </row>
    <row r="386" spans="1:10" x14ac:dyDescent="0.25">
      <c r="A386" t="s">
        <v>91</v>
      </c>
      <c r="B386" s="1">
        <f t="shared" si="20"/>
        <v>45003</v>
      </c>
      <c r="C386" s="1" t="str">
        <f t="shared" si="21"/>
        <v>Saturday</v>
      </c>
      <c r="D386" s="1" t="str">
        <f t="shared" si="22"/>
        <v>March</v>
      </c>
      <c r="E386" s="1" t="str">
        <f t="shared" si="23"/>
        <v>2023</v>
      </c>
      <c r="F386" t="s">
        <v>16</v>
      </c>
      <c r="G386" s="5">
        <v>895.44359677642001</v>
      </c>
      <c r="H386" s="10">
        <v>11</v>
      </c>
      <c r="I386" s="2">
        <v>287.35370839731598</v>
      </c>
      <c r="J386" t="s">
        <v>8</v>
      </c>
    </row>
    <row r="387" spans="1:10" x14ac:dyDescent="0.25">
      <c r="A387" t="s">
        <v>92</v>
      </c>
      <c r="B387" s="1">
        <f t="shared" ref="B387:B450" si="24">DATE(VALUE(RIGHT(A387,4)),VALUE(LEFT(A387,FIND("/",A387)-1)),VALUE(MID(A387,FIND("/",A387)+1,FIND("/",A387,FIND("/",A387)+1)-FIND("/",A387)-1)))</f>
        <v>45004</v>
      </c>
      <c r="C387" s="1" t="str">
        <f t="shared" ref="C387:C450" si="25">TEXT(B387,"DDDD")</f>
        <v>Sunday</v>
      </c>
      <c r="D387" s="1" t="str">
        <f t="shared" ref="D387:D450" si="26">TEXT(B387,"MMMM")</f>
        <v>March</v>
      </c>
      <c r="E387" s="1" t="str">
        <f t="shared" ref="E387:E450" si="27">TEXT(B387,"YYYY")</f>
        <v>2023</v>
      </c>
      <c r="F387" t="s">
        <v>7</v>
      </c>
      <c r="G387" s="5">
        <v>895.22268874471001</v>
      </c>
      <c r="H387" s="10">
        <v>12</v>
      </c>
      <c r="I387" s="2">
        <v>216.99236748971899</v>
      </c>
      <c r="J387" t="s">
        <v>8</v>
      </c>
    </row>
    <row r="388" spans="1:10" x14ac:dyDescent="0.25">
      <c r="A388" t="s">
        <v>92</v>
      </c>
      <c r="B388" s="1">
        <f t="shared" si="24"/>
        <v>45004</v>
      </c>
      <c r="C388" s="1" t="str">
        <f t="shared" si="25"/>
        <v>Sunday</v>
      </c>
      <c r="D388" s="1" t="str">
        <f t="shared" si="26"/>
        <v>March</v>
      </c>
      <c r="E388" s="1" t="str">
        <f t="shared" si="27"/>
        <v>2023</v>
      </c>
      <c r="F388" t="s">
        <v>9</v>
      </c>
      <c r="G388" s="5">
        <v>859.68616835774196</v>
      </c>
      <c r="H388" s="10">
        <v>15</v>
      </c>
      <c r="I388" s="2">
        <v>309.90085990762799</v>
      </c>
      <c r="J388" t="s">
        <v>14</v>
      </c>
    </row>
    <row r="389" spans="1:10" x14ac:dyDescent="0.25">
      <c r="A389" t="s">
        <v>92</v>
      </c>
      <c r="B389" s="1">
        <f t="shared" si="24"/>
        <v>45004</v>
      </c>
      <c r="C389" s="1" t="str">
        <f t="shared" si="25"/>
        <v>Sunday</v>
      </c>
      <c r="D389" s="1" t="str">
        <f t="shared" si="26"/>
        <v>March</v>
      </c>
      <c r="E389" s="1" t="str">
        <f t="shared" si="27"/>
        <v>2023</v>
      </c>
      <c r="F389" t="s">
        <v>11</v>
      </c>
      <c r="G389" s="5">
        <v>1537.3431365878</v>
      </c>
      <c r="H389" s="10">
        <v>18</v>
      </c>
      <c r="I389" s="2">
        <v>608.80001783071998</v>
      </c>
      <c r="J389" t="s">
        <v>8</v>
      </c>
    </row>
    <row r="390" spans="1:10" x14ac:dyDescent="0.25">
      <c r="A390" t="s">
        <v>92</v>
      </c>
      <c r="B390" s="1">
        <f t="shared" si="24"/>
        <v>45004</v>
      </c>
      <c r="C390" s="1" t="str">
        <f t="shared" si="25"/>
        <v>Sunday</v>
      </c>
      <c r="D390" s="1" t="str">
        <f t="shared" si="26"/>
        <v>March</v>
      </c>
      <c r="E390" s="1" t="str">
        <f t="shared" si="27"/>
        <v>2023</v>
      </c>
      <c r="F390" t="s">
        <v>13</v>
      </c>
      <c r="G390" s="5">
        <v>1218.2888639190001</v>
      </c>
      <c r="H390" s="10">
        <v>1</v>
      </c>
      <c r="I390" s="2">
        <v>166.45843080253701</v>
      </c>
      <c r="J390" t="s">
        <v>12</v>
      </c>
    </row>
    <row r="391" spans="1:10" x14ac:dyDescent="0.25">
      <c r="A391" t="s">
        <v>92</v>
      </c>
      <c r="B391" s="1">
        <f t="shared" si="24"/>
        <v>45004</v>
      </c>
      <c r="C391" s="1" t="str">
        <f t="shared" si="25"/>
        <v>Sunday</v>
      </c>
      <c r="D391" s="1" t="str">
        <f t="shared" si="26"/>
        <v>March</v>
      </c>
      <c r="E391" s="1" t="str">
        <f t="shared" si="27"/>
        <v>2023</v>
      </c>
      <c r="F391" t="s">
        <v>16</v>
      </c>
      <c r="G391" s="5">
        <v>115.58376574218001</v>
      </c>
      <c r="H391" s="10">
        <v>5</v>
      </c>
      <c r="I391" s="2">
        <v>386.086868684281</v>
      </c>
      <c r="J391" t="s">
        <v>8</v>
      </c>
    </row>
    <row r="392" spans="1:10" x14ac:dyDescent="0.25">
      <c r="A392" t="s">
        <v>93</v>
      </c>
      <c r="B392" s="1">
        <f t="shared" si="24"/>
        <v>45005</v>
      </c>
      <c r="C392" s="1" t="str">
        <f t="shared" si="25"/>
        <v>Monday</v>
      </c>
      <c r="D392" s="1" t="str">
        <f t="shared" si="26"/>
        <v>March</v>
      </c>
      <c r="E392" s="1" t="str">
        <f t="shared" si="27"/>
        <v>2023</v>
      </c>
      <c r="F392" t="s">
        <v>7</v>
      </c>
      <c r="G392" s="5">
        <v>157.28132523199</v>
      </c>
      <c r="H392" s="10">
        <v>12</v>
      </c>
      <c r="I392" s="2">
        <v>152.780281353905</v>
      </c>
      <c r="J392" t="s">
        <v>8</v>
      </c>
    </row>
    <row r="393" spans="1:10" x14ac:dyDescent="0.25">
      <c r="A393" t="s">
        <v>93</v>
      </c>
      <c r="B393" s="1">
        <f t="shared" si="24"/>
        <v>45005</v>
      </c>
      <c r="C393" s="1" t="str">
        <f t="shared" si="25"/>
        <v>Monday</v>
      </c>
      <c r="D393" s="1" t="str">
        <f t="shared" si="26"/>
        <v>March</v>
      </c>
      <c r="E393" s="1" t="str">
        <f t="shared" si="27"/>
        <v>2023</v>
      </c>
      <c r="F393" t="s">
        <v>9</v>
      </c>
      <c r="G393" s="5">
        <v>731.63132758639995</v>
      </c>
      <c r="H393" s="10">
        <v>18</v>
      </c>
      <c r="I393" s="2">
        <v>284.99633889118701</v>
      </c>
      <c r="J393" t="s">
        <v>10</v>
      </c>
    </row>
    <row r="394" spans="1:10" x14ac:dyDescent="0.25">
      <c r="A394" t="s">
        <v>93</v>
      </c>
      <c r="B394" s="1">
        <f t="shared" si="24"/>
        <v>45005</v>
      </c>
      <c r="C394" s="1" t="str">
        <f t="shared" si="25"/>
        <v>Monday</v>
      </c>
      <c r="D394" s="1" t="str">
        <f t="shared" si="26"/>
        <v>March</v>
      </c>
      <c r="E394" s="1" t="str">
        <f t="shared" si="27"/>
        <v>2023</v>
      </c>
      <c r="F394" t="s">
        <v>11</v>
      </c>
      <c r="G394" s="5">
        <v>12.3267182864</v>
      </c>
      <c r="H394" s="10">
        <v>15</v>
      </c>
      <c r="I394" s="2">
        <v>261.73303789465598</v>
      </c>
      <c r="J394" t="s">
        <v>10</v>
      </c>
    </row>
    <row r="395" spans="1:10" x14ac:dyDescent="0.25">
      <c r="A395" t="s">
        <v>93</v>
      </c>
      <c r="B395" s="1">
        <f t="shared" si="24"/>
        <v>45005</v>
      </c>
      <c r="C395" s="1" t="str">
        <f t="shared" si="25"/>
        <v>Monday</v>
      </c>
      <c r="D395" s="1" t="str">
        <f t="shared" si="26"/>
        <v>March</v>
      </c>
      <c r="E395" s="1" t="str">
        <f t="shared" si="27"/>
        <v>2023</v>
      </c>
      <c r="F395" t="s">
        <v>13</v>
      </c>
      <c r="G395" s="5">
        <v>112.3434239446</v>
      </c>
      <c r="H395" s="10">
        <v>12</v>
      </c>
      <c r="I395" s="2">
        <v>290.84323405529</v>
      </c>
      <c r="J395" t="s">
        <v>10</v>
      </c>
    </row>
    <row r="396" spans="1:10" x14ac:dyDescent="0.25">
      <c r="A396" t="s">
        <v>93</v>
      </c>
      <c r="B396" s="1">
        <f t="shared" si="24"/>
        <v>45005</v>
      </c>
      <c r="C396" s="1" t="str">
        <f t="shared" si="25"/>
        <v>Monday</v>
      </c>
      <c r="D396" s="1" t="str">
        <f t="shared" si="26"/>
        <v>March</v>
      </c>
      <c r="E396" s="1" t="str">
        <f t="shared" si="27"/>
        <v>2023</v>
      </c>
      <c r="F396" t="s">
        <v>16</v>
      </c>
      <c r="G396" s="5">
        <v>718.45962693824504</v>
      </c>
      <c r="H396" s="10">
        <v>8</v>
      </c>
      <c r="I396" s="2">
        <v>280.89875673656599</v>
      </c>
      <c r="J396" t="s">
        <v>8</v>
      </c>
    </row>
    <row r="397" spans="1:10" x14ac:dyDescent="0.25">
      <c r="A397" t="s">
        <v>94</v>
      </c>
      <c r="B397" s="1">
        <f t="shared" si="24"/>
        <v>45006</v>
      </c>
      <c r="C397" s="1" t="str">
        <f t="shared" si="25"/>
        <v>Tuesday</v>
      </c>
      <c r="D397" s="1" t="str">
        <f t="shared" si="26"/>
        <v>March</v>
      </c>
      <c r="E397" s="1" t="str">
        <f t="shared" si="27"/>
        <v>2023</v>
      </c>
      <c r="F397" t="s">
        <v>7</v>
      </c>
      <c r="G397" s="5">
        <v>1193.2844785279001</v>
      </c>
      <c r="H397" s="10">
        <v>8</v>
      </c>
      <c r="I397" s="2">
        <v>175.23222358088401</v>
      </c>
      <c r="J397" t="s">
        <v>12</v>
      </c>
    </row>
    <row r="398" spans="1:10" x14ac:dyDescent="0.25">
      <c r="A398" t="s">
        <v>94</v>
      </c>
      <c r="B398" s="1">
        <f t="shared" si="24"/>
        <v>45006</v>
      </c>
      <c r="C398" s="1" t="str">
        <f t="shared" si="25"/>
        <v>Tuesday</v>
      </c>
      <c r="D398" s="1" t="str">
        <f t="shared" si="26"/>
        <v>March</v>
      </c>
      <c r="E398" s="1" t="str">
        <f t="shared" si="27"/>
        <v>2023</v>
      </c>
      <c r="F398" t="s">
        <v>9</v>
      </c>
      <c r="G398" s="5">
        <v>942.7952798</v>
      </c>
      <c r="H398" s="10">
        <v>2</v>
      </c>
      <c r="I398" s="2">
        <v>281.41468503921101</v>
      </c>
      <c r="J398" t="s">
        <v>10</v>
      </c>
    </row>
    <row r="399" spans="1:10" x14ac:dyDescent="0.25">
      <c r="A399" t="s">
        <v>94</v>
      </c>
      <c r="B399" s="1">
        <f t="shared" si="24"/>
        <v>45006</v>
      </c>
      <c r="C399" s="1" t="str">
        <f t="shared" si="25"/>
        <v>Tuesday</v>
      </c>
      <c r="D399" s="1" t="str">
        <f t="shared" si="26"/>
        <v>March</v>
      </c>
      <c r="E399" s="1" t="str">
        <f t="shared" si="27"/>
        <v>2023</v>
      </c>
      <c r="F399" t="s">
        <v>11</v>
      </c>
      <c r="G399" s="5">
        <v>165.22986195390999</v>
      </c>
      <c r="H399" s="10">
        <v>11</v>
      </c>
      <c r="I399" s="2">
        <v>324.86784705197101</v>
      </c>
      <c r="J399" t="s">
        <v>12</v>
      </c>
    </row>
    <row r="400" spans="1:10" x14ac:dyDescent="0.25">
      <c r="A400" t="s">
        <v>94</v>
      </c>
      <c r="B400" s="1">
        <f t="shared" si="24"/>
        <v>45006</v>
      </c>
      <c r="C400" s="1" t="str">
        <f t="shared" si="25"/>
        <v>Tuesday</v>
      </c>
      <c r="D400" s="1" t="str">
        <f t="shared" si="26"/>
        <v>March</v>
      </c>
      <c r="E400" s="1" t="str">
        <f t="shared" si="27"/>
        <v>2023</v>
      </c>
      <c r="F400" t="s">
        <v>13</v>
      </c>
      <c r="G400" s="5">
        <v>12.5443885873</v>
      </c>
      <c r="H400" s="10">
        <v>15</v>
      </c>
      <c r="I400" s="2">
        <v>325.56606657992802</v>
      </c>
      <c r="J400" t="s">
        <v>14</v>
      </c>
    </row>
    <row r="401" spans="1:10" x14ac:dyDescent="0.25">
      <c r="A401" t="s">
        <v>94</v>
      </c>
      <c r="B401" s="1">
        <f t="shared" si="24"/>
        <v>45006</v>
      </c>
      <c r="C401" s="1" t="str">
        <f t="shared" si="25"/>
        <v>Tuesday</v>
      </c>
      <c r="D401" s="1" t="str">
        <f t="shared" si="26"/>
        <v>March</v>
      </c>
      <c r="E401" s="1" t="str">
        <f t="shared" si="27"/>
        <v>2023</v>
      </c>
      <c r="F401" t="s">
        <v>16</v>
      </c>
      <c r="G401" s="5">
        <v>844.93941099999995</v>
      </c>
      <c r="H401" s="10">
        <v>8</v>
      </c>
      <c r="I401" s="2">
        <v>286.138492224873</v>
      </c>
      <c r="J401" t="s">
        <v>14</v>
      </c>
    </row>
    <row r="402" spans="1:10" x14ac:dyDescent="0.25">
      <c r="A402" t="s">
        <v>95</v>
      </c>
      <c r="B402" s="1">
        <f t="shared" si="24"/>
        <v>45007</v>
      </c>
      <c r="C402" s="1" t="str">
        <f t="shared" si="25"/>
        <v>Wednesday</v>
      </c>
      <c r="D402" s="1" t="str">
        <f t="shared" si="26"/>
        <v>March</v>
      </c>
      <c r="E402" s="1" t="str">
        <f t="shared" si="27"/>
        <v>2023</v>
      </c>
      <c r="F402" t="s">
        <v>7</v>
      </c>
      <c r="G402" s="5">
        <v>677.18475466999996</v>
      </c>
      <c r="H402" s="10">
        <v>16</v>
      </c>
      <c r="I402" s="2">
        <v>235.63162032358699</v>
      </c>
      <c r="J402" t="s">
        <v>14</v>
      </c>
    </row>
    <row r="403" spans="1:10" x14ac:dyDescent="0.25">
      <c r="A403" t="s">
        <v>95</v>
      </c>
      <c r="B403" s="1">
        <f t="shared" si="24"/>
        <v>45007</v>
      </c>
      <c r="C403" s="1" t="str">
        <f t="shared" si="25"/>
        <v>Wednesday</v>
      </c>
      <c r="D403" s="1" t="str">
        <f t="shared" si="26"/>
        <v>March</v>
      </c>
      <c r="E403" s="1" t="str">
        <f t="shared" si="27"/>
        <v>2023</v>
      </c>
      <c r="F403" t="s">
        <v>9</v>
      </c>
      <c r="G403" s="5">
        <v>792.354336376932</v>
      </c>
      <c r="H403" s="10">
        <v>5</v>
      </c>
      <c r="I403" s="2">
        <v>327.92937848588298</v>
      </c>
      <c r="J403" t="s">
        <v>12</v>
      </c>
    </row>
    <row r="404" spans="1:10" x14ac:dyDescent="0.25">
      <c r="A404" t="s">
        <v>95</v>
      </c>
      <c r="B404" s="1">
        <f t="shared" si="24"/>
        <v>45007</v>
      </c>
      <c r="C404" s="1" t="str">
        <f t="shared" si="25"/>
        <v>Wednesday</v>
      </c>
      <c r="D404" s="1" t="str">
        <f t="shared" si="26"/>
        <v>March</v>
      </c>
      <c r="E404" s="1" t="str">
        <f t="shared" si="27"/>
        <v>2023</v>
      </c>
      <c r="F404" t="s">
        <v>11</v>
      </c>
      <c r="G404" s="5">
        <v>131.5427719834</v>
      </c>
      <c r="H404" s="10">
        <v>9</v>
      </c>
      <c r="I404" s="2">
        <v>165.48401614764001</v>
      </c>
      <c r="J404" t="s">
        <v>10</v>
      </c>
    </row>
    <row r="405" spans="1:10" x14ac:dyDescent="0.25">
      <c r="A405" t="s">
        <v>95</v>
      </c>
      <c r="B405" s="1">
        <f t="shared" si="24"/>
        <v>45007</v>
      </c>
      <c r="C405" s="1" t="str">
        <f t="shared" si="25"/>
        <v>Wednesday</v>
      </c>
      <c r="D405" s="1" t="str">
        <f t="shared" si="26"/>
        <v>March</v>
      </c>
      <c r="E405" s="1" t="str">
        <f t="shared" si="27"/>
        <v>2023</v>
      </c>
      <c r="F405" t="s">
        <v>13</v>
      </c>
      <c r="G405" s="5">
        <v>924.28598696664994</v>
      </c>
      <c r="H405" s="10">
        <v>9</v>
      </c>
      <c r="I405" s="2">
        <v>122.683149801122</v>
      </c>
      <c r="J405" t="s">
        <v>12</v>
      </c>
    </row>
    <row r="406" spans="1:10" x14ac:dyDescent="0.25">
      <c r="A406" t="s">
        <v>95</v>
      </c>
      <c r="B406" s="1">
        <f t="shared" si="24"/>
        <v>45007</v>
      </c>
      <c r="C406" s="1" t="str">
        <f t="shared" si="25"/>
        <v>Wednesday</v>
      </c>
      <c r="D406" s="1" t="str">
        <f t="shared" si="26"/>
        <v>March</v>
      </c>
      <c r="E406" s="1" t="str">
        <f t="shared" si="27"/>
        <v>2023</v>
      </c>
      <c r="F406" t="s">
        <v>16</v>
      </c>
      <c r="G406" s="5">
        <v>494.56438155386098</v>
      </c>
      <c r="H406" s="10">
        <v>6</v>
      </c>
      <c r="I406" s="2">
        <v>114.46776881056</v>
      </c>
      <c r="J406" t="s">
        <v>12</v>
      </c>
    </row>
    <row r="407" spans="1:10" x14ac:dyDescent="0.25">
      <c r="A407" t="s">
        <v>96</v>
      </c>
      <c r="B407" s="1">
        <f t="shared" si="24"/>
        <v>45008</v>
      </c>
      <c r="C407" s="1" t="str">
        <f t="shared" si="25"/>
        <v>Thursday</v>
      </c>
      <c r="D407" s="1" t="str">
        <f t="shared" si="26"/>
        <v>March</v>
      </c>
      <c r="E407" s="1" t="str">
        <f t="shared" si="27"/>
        <v>2023</v>
      </c>
      <c r="F407" t="s">
        <v>7</v>
      </c>
      <c r="G407" s="5">
        <v>719.88332417793299</v>
      </c>
      <c r="H407" s="10">
        <v>18</v>
      </c>
      <c r="I407" s="2">
        <v>261.58209416891998</v>
      </c>
      <c r="J407" t="s">
        <v>10</v>
      </c>
    </row>
    <row r="408" spans="1:10" x14ac:dyDescent="0.25">
      <c r="A408" t="s">
        <v>96</v>
      </c>
      <c r="B408" s="1">
        <f t="shared" si="24"/>
        <v>45008</v>
      </c>
      <c r="C408" s="1" t="str">
        <f t="shared" si="25"/>
        <v>Thursday</v>
      </c>
      <c r="D408" s="1" t="str">
        <f t="shared" si="26"/>
        <v>March</v>
      </c>
      <c r="E408" s="1" t="str">
        <f t="shared" si="27"/>
        <v>2023</v>
      </c>
      <c r="F408" t="s">
        <v>9</v>
      </c>
      <c r="G408" s="5">
        <v>1386.9269585126101</v>
      </c>
      <c r="H408" s="10">
        <v>7</v>
      </c>
      <c r="I408" s="2">
        <v>141.08874829819101</v>
      </c>
      <c r="J408" t="s">
        <v>10</v>
      </c>
    </row>
    <row r="409" spans="1:10" x14ac:dyDescent="0.25">
      <c r="A409" t="s">
        <v>96</v>
      </c>
      <c r="B409" s="1">
        <f t="shared" si="24"/>
        <v>45008</v>
      </c>
      <c r="C409" s="1" t="str">
        <f t="shared" si="25"/>
        <v>Thursday</v>
      </c>
      <c r="D409" s="1" t="str">
        <f t="shared" si="26"/>
        <v>March</v>
      </c>
      <c r="E409" s="1" t="str">
        <f t="shared" si="27"/>
        <v>2023</v>
      </c>
      <c r="F409" t="s">
        <v>11</v>
      </c>
      <c r="G409" s="5">
        <v>781.46151349589695</v>
      </c>
      <c r="H409" s="10">
        <v>1</v>
      </c>
      <c r="I409" s="2">
        <v>193.475091118476</v>
      </c>
      <c r="J409" t="s">
        <v>10</v>
      </c>
    </row>
    <row r="410" spans="1:10" x14ac:dyDescent="0.25">
      <c r="A410" t="s">
        <v>96</v>
      </c>
      <c r="B410" s="1">
        <f t="shared" si="24"/>
        <v>45008</v>
      </c>
      <c r="C410" s="1" t="str">
        <f t="shared" si="25"/>
        <v>Thursday</v>
      </c>
      <c r="D410" s="1" t="str">
        <f t="shared" si="26"/>
        <v>March</v>
      </c>
      <c r="E410" s="1" t="str">
        <f t="shared" si="27"/>
        <v>2023</v>
      </c>
      <c r="F410" t="s">
        <v>13</v>
      </c>
      <c r="G410" s="5">
        <v>394.13333536849001</v>
      </c>
      <c r="H410" s="10">
        <v>1</v>
      </c>
      <c r="I410" s="2">
        <v>67.500551705904499</v>
      </c>
      <c r="J410" t="s">
        <v>8</v>
      </c>
    </row>
    <row r="411" spans="1:10" x14ac:dyDescent="0.25">
      <c r="A411" t="s">
        <v>96</v>
      </c>
      <c r="B411" s="1">
        <f t="shared" si="24"/>
        <v>45008</v>
      </c>
      <c r="C411" s="1" t="str">
        <f t="shared" si="25"/>
        <v>Thursday</v>
      </c>
      <c r="D411" s="1" t="str">
        <f t="shared" si="26"/>
        <v>March</v>
      </c>
      <c r="E411" s="1" t="str">
        <f t="shared" si="27"/>
        <v>2023</v>
      </c>
      <c r="F411" t="s">
        <v>16</v>
      </c>
      <c r="G411" s="5">
        <v>1321.4227311211</v>
      </c>
      <c r="H411" s="10">
        <v>3</v>
      </c>
      <c r="I411" s="2">
        <v>222.23763518966001</v>
      </c>
      <c r="J411" t="s">
        <v>12</v>
      </c>
    </row>
    <row r="412" spans="1:10" x14ac:dyDescent="0.25">
      <c r="A412" t="s">
        <v>97</v>
      </c>
      <c r="B412" s="1">
        <f t="shared" si="24"/>
        <v>45009</v>
      </c>
      <c r="C412" s="1" t="str">
        <f t="shared" si="25"/>
        <v>Friday</v>
      </c>
      <c r="D412" s="1" t="str">
        <f t="shared" si="26"/>
        <v>March</v>
      </c>
      <c r="E412" s="1" t="str">
        <f t="shared" si="27"/>
        <v>2023</v>
      </c>
      <c r="F412" t="s">
        <v>7</v>
      </c>
      <c r="G412" s="5">
        <v>836.92212288292001</v>
      </c>
      <c r="H412" s="10">
        <v>14</v>
      </c>
      <c r="I412" s="2">
        <v>183.929457591627</v>
      </c>
      <c r="J412" t="s">
        <v>12</v>
      </c>
    </row>
    <row r="413" spans="1:10" x14ac:dyDescent="0.25">
      <c r="A413" t="s">
        <v>97</v>
      </c>
      <c r="B413" s="1">
        <f t="shared" si="24"/>
        <v>45009</v>
      </c>
      <c r="C413" s="1" t="str">
        <f t="shared" si="25"/>
        <v>Friday</v>
      </c>
      <c r="D413" s="1" t="str">
        <f t="shared" si="26"/>
        <v>March</v>
      </c>
      <c r="E413" s="1" t="str">
        <f t="shared" si="27"/>
        <v>2023</v>
      </c>
      <c r="F413" t="s">
        <v>9</v>
      </c>
      <c r="G413" s="5">
        <v>193.62382564590001</v>
      </c>
      <c r="H413" s="10">
        <v>9</v>
      </c>
      <c r="I413" s="2">
        <v>233.965215918246</v>
      </c>
      <c r="J413" t="s">
        <v>12</v>
      </c>
    </row>
    <row r="414" spans="1:10" x14ac:dyDescent="0.25">
      <c r="A414" t="s">
        <v>97</v>
      </c>
      <c r="B414" s="1">
        <f t="shared" si="24"/>
        <v>45009</v>
      </c>
      <c r="C414" s="1" t="str">
        <f t="shared" si="25"/>
        <v>Friday</v>
      </c>
      <c r="D414" s="1" t="str">
        <f t="shared" si="26"/>
        <v>March</v>
      </c>
      <c r="E414" s="1" t="str">
        <f t="shared" si="27"/>
        <v>2023</v>
      </c>
      <c r="F414" t="s">
        <v>11</v>
      </c>
      <c r="G414" s="5">
        <v>51.79798977542</v>
      </c>
      <c r="H414" s="10">
        <v>4</v>
      </c>
      <c r="I414" s="2">
        <v>144.23480878948101</v>
      </c>
      <c r="J414" t="s">
        <v>14</v>
      </c>
    </row>
    <row r="415" spans="1:10" x14ac:dyDescent="0.25">
      <c r="A415" t="s">
        <v>97</v>
      </c>
      <c r="B415" s="1">
        <f t="shared" si="24"/>
        <v>45009</v>
      </c>
      <c r="C415" s="1" t="str">
        <f t="shared" si="25"/>
        <v>Friday</v>
      </c>
      <c r="D415" s="1" t="str">
        <f t="shared" si="26"/>
        <v>March</v>
      </c>
      <c r="E415" s="1" t="str">
        <f t="shared" si="27"/>
        <v>2023</v>
      </c>
      <c r="F415" t="s">
        <v>13</v>
      </c>
      <c r="G415" s="5">
        <v>151.2912914746</v>
      </c>
      <c r="H415" s="10">
        <v>6</v>
      </c>
      <c r="I415" s="2">
        <v>340.68431000235398</v>
      </c>
      <c r="J415" t="s">
        <v>14</v>
      </c>
    </row>
    <row r="416" spans="1:10" x14ac:dyDescent="0.25">
      <c r="A416" t="s">
        <v>97</v>
      </c>
      <c r="B416" s="1">
        <f t="shared" si="24"/>
        <v>45009</v>
      </c>
      <c r="C416" s="1" t="str">
        <f t="shared" si="25"/>
        <v>Friday</v>
      </c>
      <c r="D416" s="1" t="str">
        <f t="shared" si="26"/>
        <v>March</v>
      </c>
      <c r="E416" s="1" t="str">
        <f t="shared" si="27"/>
        <v>2023</v>
      </c>
      <c r="F416" t="s">
        <v>16</v>
      </c>
      <c r="G416" s="5">
        <v>1227.6785769362</v>
      </c>
      <c r="H416" s="10">
        <v>4</v>
      </c>
      <c r="I416" s="2">
        <v>464.197992911423</v>
      </c>
      <c r="J416" t="s">
        <v>10</v>
      </c>
    </row>
    <row r="417" spans="1:10" x14ac:dyDescent="0.25">
      <c r="A417" t="s">
        <v>98</v>
      </c>
      <c r="B417" s="1">
        <f t="shared" si="24"/>
        <v>45010</v>
      </c>
      <c r="C417" s="1" t="str">
        <f t="shared" si="25"/>
        <v>Saturday</v>
      </c>
      <c r="D417" s="1" t="str">
        <f t="shared" si="26"/>
        <v>March</v>
      </c>
      <c r="E417" s="1" t="str">
        <f t="shared" si="27"/>
        <v>2023</v>
      </c>
      <c r="F417" t="s">
        <v>7</v>
      </c>
      <c r="G417" s="5">
        <v>836.92212288292001</v>
      </c>
      <c r="H417" s="10">
        <v>4</v>
      </c>
      <c r="I417" s="2">
        <v>412.414536489451</v>
      </c>
      <c r="J417" t="s">
        <v>12</v>
      </c>
    </row>
    <row r="418" spans="1:10" x14ac:dyDescent="0.25">
      <c r="A418" t="s">
        <v>98</v>
      </c>
      <c r="B418" s="1">
        <f t="shared" si="24"/>
        <v>45010</v>
      </c>
      <c r="C418" s="1" t="str">
        <f t="shared" si="25"/>
        <v>Saturday</v>
      </c>
      <c r="D418" s="1" t="str">
        <f t="shared" si="26"/>
        <v>March</v>
      </c>
      <c r="E418" s="1" t="str">
        <f t="shared" si="27"/>
        <v>2023</v>
      </c>
      <c r="F418" t="s">
        <v>9</v>
      </c>
      <c r="G418" s="5">
        <v>859.95551626365</v>
      </c>
      <c r="H418" s="10">
        <v>4</v>
      </c>
      <c r="I418" s="2">
        <v>152.24047938381</v>
      </c>
      <c r="J418" t="s">
        <v>14</v>
      </c>
    </row>
    <row r="419" spans="1:10" x14ac:dyDescent="0.25">
      <c r="A419" t="s">
        <v>98</v>
      </c>
      <c r="B419" s="1">
        <f t="shared" si="24"/>
        <v>45010</v>
      </c>
      <c r="C419" s="1" t="str">
        <f t="shared" si="25"/>
        <v>Saturday</v>
      </c>
      <c r="D419" s="1" t="str">
        <f t="shared" si="26"/>
        <v>March</v>
      </c>
      <c r="E419" s="1" t="str">
        <f t="shared" si="27"/>
        <v>2023</v>
      </c>
      <c r="F419" t="s">
        <v>11</v>
      </c>
      <c r="G419" s="5">
        <v>871.82595229547996</v>
      </c>
      <c r="H419" s="10">
        <v>14</v>
      </c>
      <c r="I419" s="2">
        <v>167.549116196174</v>
      </c>
      <c r="J419" t="s">
        <v>10</v>
      </c>
    </row>
    <row r="420" spans="1:10" x14ac:dyDescent="0.25">
      <c r="A420" t="s">
        <v>98</v>
      </c>
      <c r="B420" s="1">
        <f t="shared" si="24"/>
        <v>45010</v>
      </c>
      <c r="C420" s="1" t="str">
        <f t="shared" si="25"/>
        <v>Saturday</v>
      </c>
      <c r="D420" s="1" t="str">
        <f t="shared" si="26"/>
        <v>March</v>
      </c>
      <c r="E420" s="1" t="str">
        <f t="shared" si="27"/>
        <v>2023</v>
      </c>
      <c r="F420" t="s">
        <v>13</v>
      </c>
      <c r="G420" s="5">
        <v>1736.73285986876</v>
      </c>
      <c r="H420" s="10">
        <v>10</v>
      </c>
      <c r="I420" s="2">
        <v>491.66930707610499</v>
      </c>
      <c r="J420" t="s">
        <v>12</v>
      </c>
    </row>
    <row r="421" spans="1:10" x14ac:dyDescent="0.25">
      <c r="A421" t="s">
        <v>98</v>
      </c>
      <c r="B421" s="1">
        <f t="shared" si="24"/>
        <v>45010</v>
      </c>
      <c r="C421" s="1" t="str">
        <f t="shared" si="25"/>
        <v>Saturday</v>
      </c>
      <c r="D421" s="1" t="str">
        <f t="shared" si="26"/>
        <v>March</v>
      </c>
      <c r="E421" s="1" t="str">
        <f t="shared" si="27"/>
        <v>2023</v>
      </c>
      <c r="F421" t="s">
        <v>16</v>
      </c>
      <c r="G421" s="5">
        <v>1293.6686197381</v>
      </c>
      <c r="H421" s="10">
        <v>2</v>
      </c>
      <c r="I421" s="2">
        <v>235.17229500033099</v>
      </c>
      <c r="J421" t="s">
        <v>14</v>
      </c>
    </row>
    <row r="422" spans="1:10" x14ac:dyDescent="0.25">
      <c r="A422" t="s">
        <v>99</v>
      </c>
      <c r="B422" s="1">
        <f t="shared" si="24"/>
        <v>45011</v>
      </c>
      <c r="C422" s="1" t="str">
        <f t="shared" si="25"/>
        <v>Sunday</v>
      </c>
      <c r="D422" s="1" t="str">
        <f t="shared" si="26"/>
        <v>March</v>
      </c>
      <c r="E422" s="1" t="str">
        <f t="shared" si="27"/>
        <v>2023</v>
      </c>
      <c r="F422" t="s">
        <v>7</v>
      </c>
      <c r="G422" s="5">
        <v>127.4323826769</v>
      </c>
      <c r="H422" s="10">
        <v>7</v>
      </c>
      <c r="I422" s="2">
        <v>312.68334752305702</v>
      </c>
      <c r="J422" t="s">
        <v>12</v>
      </c>
    </row>
    <row r="423" spans="1:10" x14ac:dyDescent="0.25">
      <c r="A423" t="s">
        <v>99</v>
      </c>
      <c r="B423" s="1">
        <f t="shared" si="24"/>
        <v>45011</v>
      </c>
      <c r="C423" s="1" t="str">
        <f t="shared" si="25"/>
        <v>Sunday</v>
      </c>
      <c r="D423" s="1" t="str">
        <f t="shared" si="26"/>
        <v>March</v>
      </c>
      <c r="E423" s="1" t="str">
        <f t="shared" si="27"/>
        <v>2023</v>
      </c>
      <c r="F423" t="s">
        <v>9</v>
      </c>
      <c r="G423" s="5">
        <v>1394.327274384</v>
      </c>
      <c r="H423" s="10">
        <v>7</v>
      </c>
      <c r="I423" s="2">
        <v>359.10593008349298</v>
      </c>
      <c r="J423" t="s">
        <v>10</v>
      </c>
    </row>
    <row r="424" spans="1:10" x14ac:dyDescent="0.25">
      <c r="A424" t="s">
        <v>99</v>
      </c>
      <c r="B424" s="1">
        <f t="shared" si="24"/>
        <v>45011</v>
      </c>
      <c r="C424" s="1" t="str">
        <f t="shared" si="25"/>
        <v>Sunday</v>
      </c>
      <c r="D424" s="1" t="str">
        <f t="shared" si="26"/>
        <v>March</v>
      </c>
      <c r="E424" s="1" t="str">
        <f t="shared" si="27"/>
        <v>2023</v>
      </c>
      <c r="F424" t="s">
        <v>11</v>
      </c>
      <c r="G424" s="5">
        <v>1284.6819969512701</v>
      </c>
      <c r="H424" s="10">
        <v>10</v>
      </c>
      <c r="I424" s="2">
        <v>482.17422984383501</v>
      </c>
      <c r="J424" t="s">
        <v>14</v>
      </c>
    </row>
    <row r="425" spans="1:10" x14ac:dyDescent="0.25">
      <c r="A425" t="s">
        <v>99</v>
      </c>
      <c r="B425" s="1">
        <f t="shared" si="24"/>
        <v>45011</v>
      </c>
      <c r="C425" s="1" t="str">
        <f t="shared" si="25"/>
        <v>Sunday</v>
      </c>
      <c r="D425" s="1" t="str">
        <f t="shared" si="26"/>
        <v>March</v>
      </c>
      <c r="E425" s="1" t="str">
        <f t="shared" si="27"/>
        <v>2023</v>
      </c>
      <c r="F425" t="s">
        <v>13</v>
      </c>
      <c r="G425" s="5">
        <v>81.366244952676993</v>
      </c>
      <c r="H425" s="10">
        <v>4</v>
      </c>
      <c r="I425" s="2">
        <v>101.061650479302</v>
      </c>
      <c r="J425" t="s">
        <v>12</v>
      </c>
    </row>
    <row r="426" spans="1:10" x14ac:dyDescent="0.25">
      <c r="A426" t="s">
        <v>99</v>
      </c>
      <c r="B426" s="1">
        <f t="shared" si="24"/>
        <v>45011</v>
      </c>
      <c r="C426" s="1" t="str">
        <f t="shared" si="25"/>
        <v>Sunday</v>
      </c>
      <c r="D426" s="1" t="str">
        <f t="shared" si="26"/>
        <v>March</v>
      </c>
      <c r="E426" s="1" t="str">
        <f t="shared" si="27"/>
        <v>2023</v>
      </c>
      <c r="F426" t="s">
        <v>16</v>
      </c>
      <c r="G426" s="5">
        <v>826.31123441748002</v>
      </c>
      <c r="H426" s="10">
        <v>10</v>
      </c>
      <c r="I426" s="2">
        <v>110.470597674391</v>
      </c>
      <c r="J426" t="s">
        <v>8</v>
      </c>
    </row>
    <row r="427" spans="1:10" x14ac:dyDescent="0.25">
      <c r="A427" t="s">
        <v>100</v>
      </c>
      <c r="B427" s="1">
        <f t="shared" si="24"/>
        <v>45012</v>
      </c>
      <c r="C427" s="1" t="str">
        <f t="shared" si="25"/>
        <v>Monday</v>
      </c>
      <c r="D427" s="1" t="str">
        <f t="shared" si="26"/>
        <v>March</v>
      </c>
      <c r="E427" s="1" t="str">
        <f t="shared" si="27"/>
        <v>2023</v>
      </c>
      <c r="F427" t="s">
        <v>7</v>
      </c>
      <c r="G427" s="5">
        <v>119.165189548</v>
      </c>
      <c r="H427" s="10">
        <v>9</v>
      </c>
      <c r="I427" s="2">
        <v>344.58351129584503</v>
      </c>
      <c r="J427" t="s">
        <v>10</v>
      </c>
    </row>
    <row r="428" spans="1:10" x14ac:dyDescent="0.25">
      <c r="A428" t="s">
        <v>100</v>
      </c>
      <c r="B428" s="1">
        <f t="shared" si="24"/>
        <v>45012</v>
      </c>
      <c r="C428" s="1" t="str">
        <f t="shared" si="25"/>
        <v>Monday</v>
      </c>
      <c r="D428" s="1" t="str">
        <f t="shared" si="26"/>
        <v>March</v>
      </c>
      <c r="E428" s="1" t="str">
        <f t="shared" si="27"/>
        <v>2023</v>
      </c>
      <c r="F428" t="s">
        <v>9</v>
      </c>
      <c r="G428" s="5">
        <v>579.21841846910002</v>
      </c>
      <c r="H428" s="10">
        <v>10</v>
      </c>
      <c r="I428" s="2">
        <v>214.31483287964099</v>
      </c>
      <c r="J428" t="s">
        <v>14</v>
      </c>
    </row>
    <row r="429" spans="1:10" x14ac:dyDescent="0.25">
      <c r="A429" t="s">
        <v>100</v>
      </c>
      <c r="B429" s="1">
        <f t="shared" si="24"/>
        <v>45012</v>
      </c>
      <c r="C429" s="1" t="str">
        <f t="shared" si="25"/>
        <v>Monday</v>
      </c>
      <c r="D429" s="1" t="str">
        <f t="shared" si="26"/>
        <v>March</v>
      </c>
      <c r="E429" s="1" t="str">
        <f t="shared" si="27"/>
        <v>2023</v>
      </c>
      <c r="F429" t="s">
        <v>11</v>
      </c>
      <c r="G429" s="5">
        <v>1524.8732295679999</v>
      </c>
      <c r="H429" s="10">
        <v>17</v>
      </c>
      <c r="I429" s="2">
        <v>260.846559889422</v>
      </c>
      <c r="J429" t="s">
        <v>8</v>
      </c>
    </row>
    <row r="430" spans="1:10" x14ac:dyDescent="0.25">
      <c r="A430" t="s">
        <v>100</v>
      </c>
      <c r="B430" s="1">
        <f t="shared" si="24"/>
        <v>45012</v>
      </c>
      <c r="C430" s="1" t="str">
        <f t="shared" si="25"/>
        <v>Monday</v>
      </c>
      <c r="D430" s="1" t="str">
        <f t="shared" si="26"/>
        <v>March</v>
      </c>
      <c r="E430" s="1" t="str">
        <f t="shared" si="27"/>
        <v>2023</v>
      </c>
      <c r="F430" t="s">
        <v>13</v>
      </c>
      <c r="G430" s="5">
        <v>132.95514961309999</v>
      </c>
      <c r="H430" s="10">
        <v>4</v>
      </c>
      <c r="I430" s="2">
        <v>300.017283434295</v>
      </c>
      <c r="J430" t="s">
        <v>12</v>
      </c>
    </row>
    <row r="431" spans="1:10" x14ac:dyDescent="0.25">
      <c r="A431" t="s">
        <v>100</v>
      </c>
      <c r="B431" s="1">
        <f t="shared" si="24"/>
        <v>45012</v>
      </c>
      <c r="C431" s="1" t="str">
        <f t="shared" si="25"/>
        <v>Monday</v>
      </c>
      <c r="D431" s="1" t="str">
        <f t="shared" si="26"/>
        <v>March</v>
      </c>
      <c r="E431" s="1" t="str">
        <f t="shared" si="27"/>
        <v>2023</v>
      </c>
      <c r="F431" t="s">
        <v>16</v>
      </c>
      <c r="G431" s="5">
        <v>726.11557892796998</v>
      </c>
      <c r="H431" s="10">
        <v>18</v>
      </c>
      <c r="I431" s="2">
        <v>239.61584665210901</v>
      </c>
      <c r="J431" t="s">
        <v>12</v>
      </c>
    </row>
    <row r="432" spans="1:10" x14ac:dyDescent="0.25">
      <c r="A432" t="s">
        <v>101</v>
      </c>
      <c r="B432" s="1">
        <f t="shared" si="24"/>
        <v>45013</v>
      </c>
      <c r="C432" s="1" t="str">
        <f t="shared" si="25"/>
        <v>Tuesday</v>
      </c>
      <c r="D432" s="1" t="str">
        <f t="shared" si="26"/>
        <v>March</v>
      </c>
      <c r="E432" s="1" t="str">
        <f t="shared" si="27"/>
        <v>2023</v>
      </c>
      <c r="F432" t="s">
        <v>7</v>
      </c>
      <c r="G432" s="5">
        <v>1666.8868874520001</v>
      </c>
      <c r="H432" s="10">
        <v>15</v>
      </c>
      <c r="I432" s="2">
        <v>284.30868386872402</v>
      </c>
      <c r="J432" t="s">
        <v>14</v>
      </c>
    </row>
    <row r="433" spans="1:10" x14ac:dyDescent="0.25">
      <c r="A433" t="s">
        <v>101</v>
      </c>
      <c r="B433" s="1">
        <f t="shared" si="24"/>
        <v>45013</v>
      </c>
      <c r="C433" s="1" t="str">
        <f t="shared" si="25"/>
        <v>Tuesday</v>
      </c>
      <c r="D433" s="1" t="str">
        <f t="shared" si="26"/>
        <v>March</v>
      </c>
      <c r="E433" s="1" t="str">
        <f t="shared" si="27"/>
        <v>2023</v>
      </c>
      <c r="F433" t="s">
        <v>9</v>
      </c>
      <c r="G433" s="5">
        <v>628.65371677386497</v>
      </c>
      <c r="H433" s="10">
        <v>2</v>
      </c>
      <c r="I433" s="2">
        <v>152.05095922572599</v>
      </c>
      <c r="J433" t="s">
        <v>8</v>
      </c>
    </row>
    <row r="434" spans="1:10" x14ac:dyDescent="0.25">
      <c r="A434" t="s">
        <v>101</v>
      </c>
      <c r="B434" s="1">
        <f t="shared" si="24"/>
        <v>45013</v>
      </c>
      <c r="C434" s="1" t="str">
        <f t="shared" si="25"/>
        <v>Tuesday</v>
      </c>
      <c r="D434" s="1" t="str">
        <f t="shared" si="26"/>
        <v>March</v>
      </c>
      <c r="E434" s="1" t="str">
        <f t="shared" si="27"/>
        <v>2023</v>
      </c>
      <c r="F434" t="s">
        <v>11</v>
      </c>
      <c r="G434" s="5">
        <v>1367.37533128784</v>
      </c>
      <c r="H434" s="10">
        <v>11</v>
      </c>
      <c r="I434" s="2">
        <v>231.88515434663401</v>
      </c>
      <c r="J434" t="s">
        <v>12</v>
      </c>
    </row>
    <row r="435" spans="1:10" x14ac:dyDescent="0.25">
      <c r="A435" t="s">
        <v>101</v>
      </c>
      <c r="B435" s="1">
        <f t="shared" si="24"/>
        <v>45013</v>
      </c>
      <c r="C435" s="1" t="str">
        <f t="shared" si="25"/>
        <v>Tuesday</v>
      </c>
      <c r="D435" s="1" t="str">
        <f t="shared" si="26"/>
        <v>March</v>
      </c>
      <c r="E435" s="1" t="str">
        <f t="shared" si="27"/>
        <v>2023</v>
      </c>
      <c r="F435" t="s">
        <v>13</v>
      </c>
      <c r="G435" s="5">
        <v>1487.1896868971</v>
      </c>
      <c r="H435" s="10">
        <v>13</v>
      </c>
      <c r="I435" s="2">
        <v>413.90117292666599</v>
      </c>
      <c r="J435" t="s">
        <v>12</v>
      </c>
    </row>
    <row r="436" spans="1:10" x14ac:dyDescent="0.25">
      <c r="A436" t="s">
        <v>101</v>
      </c>
      <c r="B436" s="1">
        <f t="shared" si="24"/>
        <v>45013</v>
      </c>
      <c r="C436" s="1" t="str">
        <f t="shared" si="25"/>
        <v>Tuesday</v>
      </c>
      <c r="D436" s="1" t="str">
        <f t="shared" si="26"/>
        <v>March</v>
      </c>
      <c r="E436" s="1" t="str">
        <f t="shared" si="27"/>
        <v>2023</v>
      </c>
      <c r="F436" t="s">
        <v>16</v>
      </c>
      <c r="G436" s="5">
        <v>869.55227142692604</v>
      </c>
      <c r="H436" s="10">
        <v>7</v>
      </c>
      <c r="I436" s="2">
        <v>268.29458492533502</v>
      </c>
      <c r="J436" t="s">
        <v>10</v>
      </c>
    </row>
    <row r="437" spans="1:10" x14ac:dyDescent="0.25">
      <c r="A437" t="s">
        <v>102</v>
      </c>
      <c r="B437" s="1">
        <f t="shared" si="24"/>
        <v>45014</v>
      </c>
      <c r="C437" s="1" t="str">
        <f t="shared" si="25"/>
        <v>Wednesday</v>
      </c>
      <c r="D437" s="1" t="str">
        <f t="shared" si="26"/>
        <v>March</v>
      </c>
      <c r="E437" s="1" t="str">
        <f t="shared" si="27"/>
        <v>2023</v>
      </c>
      <c r="F437" t="s">
        <v>7</v>
      </c>
      <c r="G437" s="5">
        <v>792.73587629999997</v>
      </c>
      <c r="H437" s="10">
        <v>10</v>
      </c>
      <c r="I437" s="2">
        <v>181.108346724043</v>
      </c>
      <c r="J437" t="s">
        <v>10</v>
      </c>
    </row>
    <row r="438" spans="1:10" x14ac:dyDescent="0.25">
      <c r="A438" t="s">
        <v>102</v>
      </c>
      <c r="B438" s="1">
        <f t="shared" si="24"/>
        <v>45014</v>
      </c>
      <c r="C438" s="1" t="str">
        <f t="shared" si="25"/>
        <v>Wednesday</v>
      </c>
      <c r="D438" s="1" t="str">
        <f t="shared" si="26"/>
        <v>March</v>
      </c>
      <c r="E438" s="1" t="str">
        <f t="shared" si="27"/>
        <v>2023</v>
      </c>
      <c r="F438" t="s">
        <v>9</v>
      </c>
      <c r="G438" s="5">
        <v>1312.782656994</v>
      </c>
      <c r="H438" s="10">
        <v>4</v>
      </c>
      <c r="I438" s="2">
        <v>416.54809477367797</v>
      </c>
      <c r="J438" t="s">
        <v>12</v>
      </c>
    </row>
    <row r="439" spans="1:10" x14ac:dyDescent="0.25">
      <c r="A439" t="s">
        <v>102</v>
      </c>
      <c r="B439" s="1">
        <f t="shared" si="24"/>
        <v>45014</v>
      </c>
      <c r="C439" s="1" t="str">
        <f t="shared" si="25"/>
        <v>Wednesday</v>
      </c>
      <c r="D439" s="1" t="str">
        <f t="shared" si="26"/>
        <v>March</v>
      </c>
      <c r="E439" s="1" t="str">
        <f t="shared" si="27"/>
        <v>2023</v>
      </c>
      <c r="F439" t="s">
        <v>11</v>
      </c>
      <c r="G439" s="5">
        <v>844.43982535373004</v>
      </c>
      <c r="H439" s="10">
        <v>7</v>
      </c>
      <c r="I439" s="2">
        <v>280.042667415653</v>
      </c>
      <c r="J439" t="s">
        <v>14</v>
      </c>
    </row>
    <row r="440" spans="1:10" x14ac:dyDescent="0.25">
      <c r="A440" t="s">
        <v>102</v>
      </c>
      <c r="B440" s="1">
        <f t="shared" si="24"/>
        <v>45014</v>
      </c>
      <c r="C440" s="1" t="str">
        <f t="shared" si="25"/>
        <v>Wednesday</v>
      </c>
      <c r="D440" s="1" t="str">
        <f t="shared" si="26"/>
        <v>March</v>
      </c>
      <c r="E440" s="1" t="str">
        <f t="shared" si="27"/>
        <v>2023</v>
      </c>
      <c r="F440" t="s">
        <v>13</v>
      </c>
      <c r="G440" s="5">
        <v>825.49572581545999</v>
      </c>
      <c r="H440" s="10">
        <v>6</v>
      </c>
      <c r="I440" s="2">
        <v>170.463952524897</v>
      </c>
      <c r="J440" t="s">
        <v>14</v>
      </c>
    </row>
    <row r="441" spans="1:10" x14ac:dyDescent="0.25">
      <c r="A441" t="s">
        <v>102</v>
      </c>
      <c r="B441" s="1">
        <f t="shared" si="24"/>
        <v>45014</v>
      </c>
      <c r="C441" s="1" t="str">
        <f t="shared" si="25"/>
        <v>Wednesday</v>
      </c>
      <c r="D441" s="1" t="str">
        <f t="shared" si="26"/>
        <v>March</v>
      </c>
      <c r="E441" s="1" t="str">
        <f t="shared" si="27"/>
        <v>2023</v>
      </c>
      <c r="F441" t="s">
        <v>16</v>
      </c>
      <c r="G441" s="5">
        <v>695.57298800000001</v>
      </c>
      <c r="H441" s="10">
        <v>13</v>
      </c>
      <c r="I441" s="2">
        <v>177.87048787063699</v>
      </c>
      <c r="J441" t="s">
        <v>12</v>
      </c>
    </row>
    <row r="442" spans="1:10" x14ac:dyDescent="0.25">
      <c r="A442" t="s">
        <v>103</v>
      </c>
      <c r="B442" s="1">
        <f t="shared" si="24"/>
        <v>45015</v>
      </c>
      <c r="C442" s="1" t="str">
        <f t="shared" si="25"/>
        <v>Thursday</v>
      </c>
      <c r="D442" s="1" t="str">
        <f t="shared" si="26"/>
        <v>March</v>
      </c>
      <c r="E442" s="1" t="str">
        <f t="shared" si="27"/>
        <v>2023</v>
      </c>
      <c r="F442" t="s">
        <v>7</v>
      </c>
      <c r="G442" s="5">
        <v>843.72585419899406</v>
      </c>
      <c r="H442" s="10">
        <v>8</v>
      </c>
      <c r="I442" s="2">
        <v>307.13622939453802</v>
      </c>
      <c r="J442" t="s">
        <v>12</v>
      </c>
    </row>
    <row r="443" spans="1:10" x14ac:dyDescent="0.25">
      <c r="A443" t="s">
        <v>103</v>
      </c>
      <c r="B443" s="1">
        <f t="shared" si="24"/>
        <v>45015</v>
      </c>
      <c r="C443" s="1" t="str">
        <f t="shared" si="25"/>
        <v>Thursday</v>
      </c>
      <c r="D443" s="1" t="str">
        <f t="shared" si="26"/>
        <v>March</v>
      </c>
      <c r="E443" s="1" t="str">
        <f t="shared" si="27"/>
        <v>2023</v>
      </c>
      <c r="F443" t="s">
        <v>9</v>
      </c>
      <c r="G443" s="5">
        <v>161.62857888144001</v>
      </c>
      <c r="H443" s="10">
        <v>3</v>
      </c>
      <c r="I443" s="2">
        <v>275.90382315023101</v>
      </c>
      <c r="J443" t="s">
        <v>8</v>
      </c>
    </row>
    <row r="444" spans="1:10" x14ac:dyDescent="0.25">
      <c r="A444" t="s">
        <v>103</v>
      </c>
      <c r="B444" s="1">
        <f t="shared" si="24"/>
        <v>45015</v>
      </c>
      <c r="C444" s="1" t="str">
        <f t="shared" si="25"/>
        <v>Thursday</v>
      </c>
      <c r="D444" s="1" t="str">
        <f t="shared" si="26"/>
        <v>March</v>
      </c>
      <c r="E444" s="1" t="str">
        <f t="shared" si="27"/>
        <v>2023</v>
      </c>
      <c r="F444" t="s">
        <v>11</v>
      </c>
      <c r="G444" s="5">
        <v>592.82343800000001</v>
      </c>
      <c r="H444" s="10">
        <v>2</v>
      </c>
      <c r="I444" s="2">
        <v>236.08707510460599</v>
      </c>
      <c r="J444" t="s">
        <v>12</v>
      </c>
    </row>
    <row r="445" spans="1:10" x14ac:dyDescent="0.25">
      <c r="A445" t="s">
        <v>103</v>
      </c>
      <c r="B445" s="1">
        <f t="shared" si="24"/>
        <v>45015</v>
      </c>
      <c r="C445" s="1" t="str">
        <f t="shared" si="25"/>
        <v>Thursday</v>
      </c>
      <c r="D445" s="1" t="str">
        <f t="shared" si="26"/>
        <v>March</v>
      </c>
      <c r="E445" s="1" t="str">
        <f t="shared" si="27"/>
        <v>2023</v>
      </c>
      <c r="F445" t="s">
        <v>13</v>
      </c>
      <c r="G445" s="5">
        <v>943.27555930000005</v>
      </c>
      <c r="H445" s="10">
        <v>6</v>
      </c>
      <c r="I445" s="2">
        <v>252.17059541341001</v>
      </c>
      <c r="J445" t="s">
        <v>12</v>
      </c>
    </row>
    <row r="446" spans="1:10" x14ac:dyDescent="0.25">
      <c r="A446" t="s">
        <v>103</v>
      </c>
      <c r="B446" s="1">
        <f t="shared" si="24"/>
        <v>45015</v>
      </c>
      <c r="C446" s="1" t="str">
        <f t="shared" si="25"/>
        <v>Thursday</v>
      </c>
      <c r="D446" s="1" t="str">
        <f t="shared" si="26"/>
        <v>March</v>
      </c>
      <c r="E446" s="1" t="str">
        <f t="shared" si="27"/>
        <v>2023</v>
      </c>
      <c r="F446" t="s">
        <v>16</v>
      </c>
      <c r="G446" s="5">
        <v>414.66445754534197</v>
      </c>
      <c r="H446" s="10">
        <v>12</v>
      </c>
      <c r="I446" s="2">
        <v>52.509050752157698</v>
      </c>
      <c r="J446" t="s">
        <v>8</v>
      </c>
    </row>
    <row r="447" spans="1:10" x14ac:dyDescent="0.25">
      <c r="A447" t="s">
        <v>104</v>
      </c>
      <c r="B447" s="1">
        <f t="shared" si="24"/>
        <v>45016</v>
      </c>
      <c r="C447" s="1" t="str">
        <f t="shared" si="25"/>
        <v>Friday</v>
      </c>
      <c r="D447" s="1" t="str">
        <f t="shared" si="26"/>
        <v>March</v>
      </c>
      <c r="E447" s="1" t="str">
        <f t="shared" si="27"/>
        <v>2023</v>
      </c>
      <c r="F447" t="s">
        <v>7</v>
      </c>
      <c r="G447" s="5">
        <v>811.321332643392</v>
      </c>
      <c r="H447" s="10">
        <v>13</v>
      </c>
      <c r="I447" s="2">
        <v>235.67912237360699</v>
      </c>
      <c r="J447" t="s">
        <v>10</v>
      </c>
    </row>
    <row r="448" spans="1:10" x14ac:dyDescent="0.25">
      <c r="A448" t="s">
        <v>104</v>
      </c>
      <c r="B448" s="1">
        <f t="shared" si="24"/>
        <v>45016</v>
      </c>
      <c r="C448" s="1" t="str">
        <f t="shared" si="25"/>
        <v>Friday</v>
      </c>
      <c r="D448" s="1" t="str">
        <f t="shared" si="26"/>
        <v>March</v>
      </c>
      <c r="E448" s="1" t="str">
        <f t="shared" si="27"/>
        <v>2023</v>
      </c>
      <c r="F448" t="s">
        <v>9</v>
      </c>
      <c r="G448" s="5">
        <v>15.882472182000001</v>
      </c>
      <c r="H448" s="10">
        <v>16</v>
      </c>
      <c r="I448" s="2">
        <v>105.470678708186</v>
      </c>
      <c r="J448" t="s">
        <v>14</v>
      </c>
    </row>
    <row r="449" spans="1:10" x14ac:dyDescent="0.25">
      <c r="A449" t="s">
        <v>104</v>
      </c>
      <c r="B449" s="1">
        <f t="shared" si="24"/>
        <v>45016</v>
      </c>
      <c r="C449" s="1" t="str">
        <f t="shared" si="25"/>
        <v>Friday</v>
      </c>
      <c r="D449" s="1" t="str">
        <f t="shared" si="26"/>
        <v>March</v>
      </c>
      <c r="E449" s="1" t="str">
        <f t="shared" si="27"/>
        <v>2023</v>
      </c>
      <c r="F449" t="s">
        <v>11</v>
      </c>
      <c r="G449" s="5">
        <v>575.88565928549997</v>
      </c>
      <c r="H449" s="10">
        <v>12</v>
      </c>
      <c r="I449" s="2">
        <v>227.11254953904901</v>
      </c>
      <c r="J449" t="s">
        <v>10</v>
      </c>
    </row>
    <row r="450" spans="1:10" x14ac:dyDescent="0.25">
      <c r="A450" t="s">
        <v>104</v>
      </c>
      <c r="B450" s="1">
        <f t="shared" si="24"/>
        <v>45016</v>
      </c>
      <c r="C450" s="1" t="str">
        <f t="shared" si="25"/>
        <v>Friday</v>
      </c>
      <c r="D450" s="1" t="str">
        <f t="shared" si="26"/>
        <v>March</v>
      </c>
      <c r="E450" s="1" t="str">
        <f t="shared" si="27"/>
        <v>2023</v>
      </c>
      <c r="F450" t="s">
        <v>13</v>
      </c>
      <c r="G450" s="5">
        <v>672.36175982259999</v>
      </c>
      <c r="H450" s="10">
        <v>5</v>
      </c>
      <c r="I450" s="2">
        <v>215.91386129443001</v>
      </c>
      <c r="J450" t="s">
        <v>14</v>
      </c>
    </row>
    <row r="451" spans="1:10" x14ac:dyDescent="0.25">
      <c r="A451" t="s">
        <v>104</v>
      </c>
      <c r="B451" s="1">
        <f t="shared" ref="B451:B514" si="28">DATE(VALUE(RIGHT(A451,4)),VALUE(LEFT(A451,FIND("/",A451)-1)),VALUE(MID(A451,FIND("/",A451)+1,FIND("/",A451,FIND("/",A451)+1)-FIND("/",A451)-1)))</f>
        <v>45016</v>
      </c>
      <c r="C451" s="1" t="str">
        <f t="shared" ref="C451:C514" si="29">TEXT(B451,"DDDD")</f>
        <v>Friday</v>
      </c>
      <c r="D451" s="1" t="str">
        <f t="shared" ref="D451:D514" si="30">TEXT(B451,"MMMM")</f>
        <v>March</v>
      </c>
      <c r="E451" s="1" t="str">
        <f t="shared" ref="E451:E514" si="31">TEXT(B451,"YYYY")</f>
        <v>2023</v>
      </c>
      <c r="F451" t="s">
        <v>16</v>
      </c>
      <c r="G451" s="5">
        <v>849.22161818129996</v>
      </c>
      <c r="H451" s="10">
        <v>12</v>
      </c>
      <c r="I451" s="2">
        <v>156.66620738744101</v>
      </c>
      <c r="J451" t="s">
        <v>12</v>
      </c>
    </row>
    <row r="452" spans="1:10" x14ac:dyDescent="0.25">
      <c r="A452" t="s">
        <v>105</v>
      </c>
      <c r="B452" s="1">
        <f t="shared" si="28"/>
        <v>45017</v>
      </c>
      <c r="C452" s="1" t="str">
        <f t="shared" si="29"/>
        <v>Saturday</v>
      </c>
      <c r="D452" s="1" t="str">
        <f t="shared" si="30"/>
        <v>April</v>
      </c>
      <c r="E452" s="1" t="str">
        <f t="shared" si="31"/>
        <v>2023</v>
      </c>
      <c r="F452" t="s">
        <v>7</v>
      </c>
      <c r="G452" s="5">
        <v>1695.7988619944999</v>
      </c>
      <c r="H452" s="10">
        <v>18</v>
      </c>
      <c r="I452" s="2">
        <v>570.41687473221998</v>
      </c>
      <c r="J452" t="s">
        <v>14</v>
      </c>
    </row>
    <row r="453" spans="1:10" x14ac:dyDescent="0.25">
      <c r="A453" t="s">
        <v>105</v>
      </c>
      <c r="B453" s="1">
        <f t="shared" si="28"/>
        <v>45017</v>
      </c>
      <c r="C453" s="1" t="str">
        <f t="shared" si="29"/>
        <v>Saturday</v>
      </c>
      <c r="D453" s="1" t="str">
        <f t="shared" si="30"/>
        <v>April</v>
      </c>
      <c r="E453" s="1" t="str">
        <f t="shared" si="31"/>
        <v>2023</v>
      </c>
      <c r="F453" t="s">
        <v>9</v>
      </c>
      <c r="G453" s="5">
        <v>1117.9953518183099</v>
      </c>
      <c r="H453" s="10">
        <v>1</v>
      </c>
      <c r="I453" s="2">
        <v>315.885029481304</v>
      </c>
      <c r="J453" t="s">
        <v>14</v>
      </c>
    </row>
    <row r="454" spans="1:10" x14ac:dyDescent="0.25">
      <c r="A454" t="s">
        <v>105</v>
      </c>
      <c r="B454" s="1">
        <f t="shared" si="28"/>
        <v>45017</v>
      </c>
      <c r="C454" s="1" t="str">
        <f t="shared" si="29"/>
        <v>Saturday</v>
      </c>
      <c r="D454" s="1" t="str">
        <f t="shared" si="30"/>
        <v>April</v>
      </c>
      <c r="E454" s="1" t="str">
        <f t="shared" si="31"/>
        <v>2023</v>
      </c>
      <c r="F454" t="s">
        <v>11</v>
      </c>
      <c r="G454" s="5">
        <v>1212.4326365700001</v>
      </c>
      <c r="H454" s="10">
        <v>14</v>
      </c>
      <c r="I454" s="2">
        <v>164.035715650675</v>
      </c>
      <c r="J454" t="s">
        <v>10</v>
      </c>
    </row>
    <row r="455" spans="1:10" x14ac:dyDescent="0.25">
      <c r="A455" t="s">
        <v>105</v>
      </c>
      <c r="B455" s="1">
        <f t="shared" si="28"/>
        <v>45017</v>
      </c>
      <c r="C455" s="1" t="str">
        <f t="shared" si="29"/>
        <v>Saturday</v>
      </c>
      <c r="D455" s="1" t="str">
        <f t="shared" si="30"/>
        <v>April</v>
      </c>
      <c r="E455" s="1" t="str">
        <f t="shared" si="31"/>
        <v>2023</v>
      </c>
      <c r="F455" t="s">
        <v>13</v>
      </c>
      <c r="G455" s="5">
        <v>746.15692945599994</v>
      </c>
      <c r="H455" s="10">
        <v>18</v>
      </c>
      <c r="I455" s="2">
        <v>260.62269095281101</v>
      </c>
      <c r="J455" t="s">
        <v>8</v>
      </c>
    </row>
    <row r="456" spans="1:10" x14ac:dyDescent="0.25">
      <c r="A456" t="s">
        <v>105</v>
      </c>
      <c r="B456" s="1">
        <f t="shared" si="28"/>
        <v>45017</v>
      </c>
      <c r="C456" s="1" t="str">
        <f t="shared" si="29"/>
        <v>Saturday</v>
      </c>
      <c r="D456" s="1" t="str">
        <f t="shared" si="30"/>
        <v>April</v>
      </c>
      <c r="E456" s="1" t="str">
        <f t="shared" si="31"/>
        <v>2023</v>
      </c>
      <c r="F456" t="s">
        <v>16</v>
      </c>
      <c r="G456" s="5">
        <v>449.13838869109998</v>
      </c>
      <c r="H456" s="10">
        <v>4</v>
      </c>
      <c r="I456" s="2">
        <v>162.58854495336701</v>
      </c>
      <c r="J456" t="s">
        <v>12</v>
      </c>
    </row>
    <row r="457" spans="1:10" x14ac:dyDescent="0.25">
      <c r="A457" t="s">
        <v>106</v>
      </c>
      <c r="B457" s="1">
        <f t="shared" si="28"/>
        <v>45018</v>
      </c>
      <c r="C457" s="1" t="str">
        <f t="shared" si="29"/>
        <v>Sunday</v>
      </c>
      <c r="D457" s="1" t="str">
        <f t="shared" si="30"/>
        <v>April</v>
      </c>
      <c r="E457" s="1" t="str">
        <f t="shared" si="31"/>
        <v>2023</v>
      </c>
      <c r="F457" t="s">
        <v>7</v>
      </c>
      <c r="G457" s="5">
        <v>1152.3973987376</v>
      </c>
      <c r="H457" s="10">
        <v>3</v>
      </c>
      <c r="I457" s="2">
        <v>387.070449827826</v>
      </c>
      <c r="J457" t="s">
        <v>10</v>
      </c>
    </row>
    <row r="458" spans="1:10" x14ac:dyDescent="0.25">
      <c r="A458" t="s">
        <v>106</v>
      </c>
      <c r="B458" s="1">
        <f t="shared" si="28"/>
        <v>45018</v>
      </c>
      <c r="C458" s="1" t="str">
        <f t="shared" si="29"/>
        <v>Sunday</v>
      </c>
      <c r="D458" s="1" t="str">
        <f t="shared" si="30"/>
        <v>April</v>
      </c>
      <c r="E458" s="1" t="str">
        <f t="shared" si="31"/>
        <v>2023</v>
      </c>
      <c r="F458" t="s">
        <v>9</v>
      </c>
      <c r="G458" s="5">
        <v>124.5488756426</v>
      </c>
      <c r="H458" s="10">
        <v>3</v>
      </c>
      <c r="I458" s="2">
        <v>309.712028994158</v>
      </c>
      <c r="J458" t="s">
        <v>12</v>
      </c>
    </row>
    <row r="459" spans="1:10" x14ac:dyDescent="0.25">
      <c r="A459" t="s">
        <v>106</v>
      </c>
      <c r="B459" s="1">
        <f t="shared" si="28"/>
        <v>45018</v>
      </c>
      <c r="C459" s="1" t="str">
        <f t="shared" si="29"/>
        <v>Sunday</v>
      </c>
      <c r="D459" s="1" t="str">
        <f t="shared" si="30"/>
        <v>April</v>
      </c>
      <c r="E459" s="1" t="str">
        <f t="shared" si="31"/>
        <v>2023</v>
      </c>
      <c r="F459" t="s">
        <v>11</v>
      </c>
      <c r="G459" s="5">
        <v>97.3331442657</v>
      </c>
      <c r="H459" s="10">
        <v>14</v>
      </c>
      <c r="I459" s="2">
        <v>331.638138941151</v>
      </c>
      <c r="J459" t="s">
        <v>14</v>
      </c>
    </row>
    <row r="460" spans="1:10" x14ac:dyDescent="0.25">
      <c r="A460" t="s">
        <v>106</v>
      </c>
      <c r="B460" s="1">
        <f t="shared" si="28"/>
        <v>45018</v>
      </c>
      <c r="C460" s="1" t="str">
        <f t="shared" si="29"/>
        <v>Sunday</v>
      </c>
      <c r="D460" s="1" t="str">
        <f t="shared" si="30"/>
        <v>April</v>
      </c>
      <c r="E460" s="1" t="str">
        <f t="shared" si="31"/>
        <v>2023</v>
      </c>
      <c r="F460" t="s">
        <v>13</v>
      </c>
      <c r="G460" s="5">
        <v>746.15692945599994</v>
      </c>
      <c r="H460" s="10">
        <v>15</v>
      </c>
      <c r="I460" s="2">
        <v>259.20484236961499</v>
      </c>
      <c r="J460" t="s">
        <v>12</v>
      </c>
    </row>
    <row r="461" spans="1:10" x14ac:dyDescent="0.25">
      <c r="A461" t="s">
        <v>106</v>
      </c>
      <c r="B461" s="1">
        <f t="shared" si="28"/>
        <v>45018</v>
      </c>
      <c r="C461" s="1" t="str">
        <f t="shared" si="29"/>
        <v>Sunday</v>
      </c>
      <c r="D461" s="1" t="str">
        <f t="shared" si="30"/>
        <v>April</v>
      </c>
      <c r="E461" s="1" t="str">
        <f t="shared" si="31"/>
        <v>2023</v>
      </c>
      <c r="F461" t="s">
        <v>16</v>
      </c>
      <c r="G461" s="5">
        <v>843.27935973189199</v>
      </c>
      <c r="H461" s="10">
        <v>2</v>
      </c>
      <c r="I461" s="2">
        <v>140.89876711784601</v>
      </c>
      <c r="J461" t="s">
        <v>12</v>
      </c>
    </row>
    <row r="462" spans="1:10" x14ac:dyDescent="0.25">
      <c r="A462" t="s">
        <v>107</v>
      </c>
      <c r="B462" s="1">
        <f t="shared" si="28"/>
        <v>45019</v>
      </c>
      <c r="C462" s="1" t="str">
        <f t="shared" si="29"/>
        <v>Monday</v>
      </c>
      <c r="D462" s="1" t="str">
        <f t="shared" si="30"/>
        <v>April</v>
      </c>
      <c r="E462" s="1" t="str">
        <f t="shared" si="31"/>
        <v>2023</v>
      </c>
      <c r="F462" t="s">
        <v>7</v>
      </c>
      <c r="G462" s="5">
        <v>115.167446782</v>
      </c>
      <c r="H462" s="10">
        <v>2</v>
      </c>
      <c r="I462" s="2">
        <v>141.876228108475</v>
      </c>
      <c r="J462" t="s">
        <v>12</v>
      </c>
    </row>
    <row r="463" spans="1:10" x14ac:dyDescent="0.25">
      <c r="A463" t="s">
        <v>107</v>
      </c>
      <c r="B463" s="1">
        <f t="shared" si="28"/>
        <v>45019</v>
      </c>
      <c r="C463" s="1" t="str">
        <f t="shared" si="29"/>
        <v>Monday</v>
      </c>
      <c r="D463" s="1" t="str">
        <f t="shared" si="30"/>
        <v>April</v>
      </c>
      <c r="E463" s="1" t="str">
        <f t="shared" si="31"/>
        <v>2023</v>
      </c>
      <c r="F463" t="s">
        <v>9</v>
      </c>
      <c r="G463" s="5">
        <v>151.14917512119999</v>
      </c>
      <c r="H463" s="10">
        <v>1</v>
      </c>
      <c r="I463" s="2">
        <v>396.10155366889001</v>
      </c>
      <c r="J463" t="s">
        <v>12</v>
      </c>
    </row>
    <row r="464" spans="1:10" x14ac:dyDescent="0.25">
      <c r="A464" t="s">
        <v>107</v>
      </c>
      <c r="B464" s="1">
        <f t="shared" si="28"/>
        <v>45019</v>
      </c>
      <c r="C464" s="1" t="str">
        <f t="shared" si="29"/>
        <v>Monday</v>
      </c>
      <c r="D464" s="1" t="str">
        <f t="shared" si="30"/>
        <v>April</v>
      </c>
      <c r="E464" s="1" t="str">
        <f t="shared" si="31"/>
        <v>2023</v>
      </c>
      <c r="F464" t="s">
        <v>11</v>
      </c>
      <c r="G464" s="5">
        <v>781.46151349589695</v>
      </c>
      <c r="H464" s="10">
        <v>3</v>
      </c>
      <c r="I464" s="2">
        <v>185.58813107585499</v>
      </c>
      <c r="J464" t="s">
        <v>8</v>
      </c>
    </row>
    <row r="465" spans="1:10" x14ac:dyDescent="0.25">
      <c r="A465" t="s">
        <v>107</v>
      </c>
      <c r="B465" s="1">
        <f t="shared" si="28"/>
        <v>45019</v>
      </c>
      <c r="C465" s="1" t="str">
        <f t="shared" si="29"/>
        <v>Monday</v>
      </c>
      <c r="D465" s="1" t="str">
        <f t="shared" si="30"/>
        <v>April</v>
      </c>
      <c r="E465" s="1" t="str">
        <f t="shared" si="31"/>
        <v>2023</v>
      </c>
      <c r="F465" t="s">
        <v>13</v>
      </c>
      <c r="G465" s="5">
        <v>1279.53282922261</v>
      </c>
      <c r="H465" s="10">
        <v>13</v>
      </c>
      <c r="I465" s="2">
        <v>269.03499067967499</v>
      </c>
      <c r="J465" t="s">
        <v>14</v>
      </c>
    </row>
    <row r="466" spans="1:10" x14ac:dyDescent="0.25">
      <c r="A466" t="s">
        <v>107</v>
      </c>
      <c r="B466" s="1">
        <f t="shared" si="28"/>
        <v>45019</v>
      </c>
      <c r="C466" s="1" t="str">
        <f t="shared" si="29"/>
        <v>Monday</v>
      </c>
      <c r="D466" s="1" t="str">
        <f t="shared" si="30"/>
        <v>April</v>
      </c>
      <c r="E466" s="1" t="str">
        <f t="shared" si="31"/>
        <v>2023</v>
      </c>
      <c r="F466" t="s">
        <v>16</v>
      </c>
      <c r="G466" s="5">
        <v>1285.23889184</v>
      </c>
      <c r="H466" s="10">
        <v>15</v>
      </c>
      <c r="I466" s="2">
        <v>499.87378812754997</v>
      </c>
      <c r="J466" t="s">
        <v>14</v>
      </c>
    </row>
    <row r="467" spans="1:10" x14ac:dyDescent="0.25">
      <c r="A467" t="s">
        <v>108</v>
      </c>
      <c r="B467" s="1">
        <f t="shared" si="28"/>
        <v>45020</v>
      </c>
      <c r="C467" s="1" t="str">
        <f t="shared" si="29"/>
        <v>Tuesday</v>
      </c>
      <c r="D467" s="1" t="str">
        <f t="shared" si="30"/>
        <v>April</v>
      </c>
      <c r="E467" s="1" t="str">
        <f t="shared" si="31"/>
        <v>2023</v>
      </c>
      <c r="F467" t="s">
        <v>7</v>
      </c>
      <c r="G467" s="5">
        <v>836.92212288292001</v>
      </c>
      <c r="H467" s="10">
        <v>12</v>
      </c>
      <c r="I467" s="2">
        <v>0</v>
      </c>
      <c r="J467" t="s">
        <v>14</v>
      </c>
    </row>
    <row r="468" spans="1:10" x14ac:dyDescent="0.25">
      <c r="A468" t="s">
        <v>108</v>
      </c>
      <c r="B468" s="1">
        <f t="shared" si="28"/>
        <v>45020</v>
      </c>
      <c r="C468" s="1" t="str">
        <f t="shared" si="29"/>
        <v>Tuesday</v>
      </c>
      <c r="D468" s="1" t="str">
        <f t="shared" si="30"/>
        <v>April</v>
      </c>
      <c r="E468" s="1" t="str">
        <f t="shared" si="31"/>
        <v>2023</v>
      </c>
      <c r="F468" t="s">
        <v>9</v>
      </c>
      <c r="G468" s="5">
        <v>1197.2558822487599</v>
      </c>
      <c r="H468" s="10">
        <v>18</v>
      </c>
      <c r="I468" s="2">
        <v>219.48787700302501</v>
      </c>
      <c r="J468" t="s">
        <v>10</v>
      </c>
    </row>
    <row r="469" spans="1:10" x14ac:dyDescent="0.25">
      <c r="A469" t="s">
        <v>108</v>
      </c>
      <c r="B469" s="1">
        <f t="shared" si="28"/>
        <v>45020</v>
      </c>
      <c r="C469" s="1" t="str">
        <f t="shared" si="29"/>
        <v>Tuesday</v>
      </c>
      <c r="D469" s="1" t="str">
        <f t="shared" si="30"/>
        <v>April</v>
      </c>
      <c r="E469" s="1" t="str">
        <f t="shared" si="31"/>
        <v>2023</v>
      </c>
      <c r="F469" t="s">
        <v>11</v>
      </c>
      <c r="G469" s="5">
        <v>142.61528329737999</v>
      </c>
      <c r="H469" s="10">
        <v>6</v>
      </c>
      <c r="I469" s="2">
        <v>104.365531118641</v>
      </c>
      <c r="J469" t="s">
        <v>10</v>
      </c>
    </row>
    <row r="470" spans="1:10" x14ac:dyDescent="0.25">
      <c r="A470" t="s">
        <v>108</v>
      </c>
      <c r="B470" s="1">
        <f t="shared" si="28"/>
        <v>45020</v>
      </c>
      <c r="C470" s="1" t="str">
        <f t="shared" si="29"/>
        <v>Tuesday</v>
      </c>
      <c r="D470" s="1" t="str">
        <f t="shared" si="30"/>
        <v>April</v>
      </c>
      <c r="E470" s="1" t="str">
        <f t="shared" si="31"/>
        <v>2023</v>
      </c>
      <c r="F470" t="s">
        <v>13</v>
      </c>
      <c r="G470" s="5">
        <v>1459.2252497310001</v>
      </c>
      <c r="H470" s="10">
        <v>19</v>
      </c>
      <c r="I470" s="2">
        <v>315.1025502</v>
      </c>
      <c r="J470" t="s">
        <v>8</v>
      </c>
    </row>
    <row r="471" spans="1:10" x14ac:dyDescent="0.25">
      <c r="A471" t="s">
        <v>108</v>
      </c>
      <c r="B471" s="1">
        <f t="shared" si="28"/>
        <v>45020</v>
      </c>
      <c r="C471" s="1" t="str">
        <f t="shared" si="29"/>
        <v>Tuesday</v>
      </c>
      <c r="D471" s="1" t="str">
        <f t="shared" si="30"/>
        <v>April</v>
      </c>
      <c r="E471" s="1" t="str">
        <f t="shared" si="31"/>
        <v>2023</v>
      </c>
      <c r="F471" t="s">
        <v>16</v>
      </c>
      <c r="G471" s="5">
        <v>1365.6285555919001</v>
      </c>
      <c r="H471" s="10">
        <v>19</v>
      </c>
      <c r="I471" s="2">
        <v>215.13393489149499</v>
      </c>
      <c r="J471" t="s">
        <v>8</v>
      </c>
    </row>
    <row r="472" spans="1:10" x14ac:dyDescent="0.25">
      <c r="A472" t="s">
        <v>109</v>
      </c>
      <c r="B472" s="1">
        <f t="shared" si="28"/>
        <v>45021</v>
      </c>
      <c r="C472" s="1" t="str">
        <f t="shared" si="29"/>
        <v>Wednesday</v>
      </c>
      <c r="D472" s="1" t="str">
        <f t="shared" si="30"/>
        <v>April</v>
      </c>
      <c r="E472" s="1" t="str">
        <f t="shared" si="31"/>
        <v>2023</v>
      </c>
      <c r="F472" t="s">
        <v>7</v>
      </c>
      <c r="G472" s="5">
        <v>144.62371662999999</v>
      </c>
      <c r="H472" s="10">
        <v>9</v>
      </c>
      <c r="I472" s="2">
        <v>239.31911902152001</v>
      </c>
      <c r="J472" t="s">
        <v>8</v>
      </c>
    </row>
    <row r="473" spans="1:10" x14ac:dyDescent="0.25">
      <c r="A473" t="s">
        <v>109</v>
      </c>
      <c r="B473" s="1">
        <f t="shared" si="28"/>
        <v>45021</v>
      </c>
      <c r="C473" s="1" t="str">
        <f t="shared" si="29"/>
        <v>Wednesday</v>
      </c>
      <c r="D473" s="1" t="str">
        <f t="shared" si="30"/>
        <v>April</v>
      </c>
      <c r="E473" s="1" t="str">
        <f t="shared" si="31"/>
        <v>2023</v>
      </c>
      <c r="F473" t="s">
        <v>9</v>
      </c>
      <c r="G473" s="5">
        <v>898.87428664588003</v>
      </c>
      <c r="H473" s="10">
        <v>3</v>
      </c>
      <c r="I473" s="2">
        <v>110.012265457967</v>
      </c>
      <c r="J473" t="s">
        <v>14</v>
      </c>
    </row>
    <row r="474" spans="1:10" x14ac:dyDescent="0.25">
      <c r="A474" t="s">
        <v>109</v>
      </c>
      <c r="B474" s="1">
        <f t="shared" si="28"/>
        <v>45021</v>
      </c>
      <c r="C474" s="1" t="str">
        <f t="shared" si="29"/>
        <v>Wednesday</v>
      </c>
      <c r="D474" s="1" t="str">
        <f t="shared" si="30"/>
        <v>April</v>
      </c>
      <c r="E474" s="1" t="str">
        <f t="shared" si="31"/>
        <v>2023</v>
      </c>
      <c r="F474" t="s">
        <v>11</v>
      </c>
      <c r="G474" s="5">
        <v>815.97929377180003</v>
      </c>
      <c r="H474" s="10">
        <v>16</v>
      </c>
      <c r="I474" s="2">
        <v>250.90170459503699</v>
      </c>
      <c r="J474" t="s">
        <v>8</v>
      </c>
    </row>
    <row r="475" spans="1:10" x14ac:dyDescent="0.25">
      <c r="A475" t="s">
        <v>109</v>
      </c>
      <c r="B475" s="1">
        <f t="shared" si="28"/>
        <v>45021</v>
      </c>
      <c r="C475" s="1" t="str">
        <f t="shared" si="29"/>
        <v>Wednesday</v>
      </c>
      <c r="D475" s="1" t="str">
        <f t="shared" si="30"/>
        <v>April</v>
      </c>
      <c r="E475" s="1" t="str">
        <f t="shared" si="31"/>
        <v>2023</v>
      </c>
      <c r="F475" t="s">
        <v>13</v>
      </c>
      <c r="G475" s="5">
        <v>99.259945356100005</v>
      </c>
      <c r="H475" s="10">
        <v>4</v>
      </c>
      <c r="I475" s="2">
        <v>263.64593711929001</v>
      </c>
      <c r="J475" t="s">
        <v>14</v>
      </c>
    </row>
    <row r="476" spans="1:10" x14ac:dyDescent="0.25">
      <c r="A476" t="s">
        <v>109</v>
      </c>
      <c r="B476" s="1">
        <f t="shared" si="28"/>
        <v>45021</v>
      </c>
      <c r="C476" s="1" t="str">
        <f t="shared" si="29"/>
        <v>Wednesday</v>
      </c>
      <c r="D476" s="1" t="str">
        <f t="shared" si="30"/>
        <v>April</v>
      </c>
      <c r="E476" s="1" t="str">
        <f t="shared" si="31"/>
        <v>2023</v>
      </c>
      <c r="F476" t="s">
        <v>16</v>
      </c>
      <c r="G476" s="5">
        <v>1131.8145923899999</v>
      </c>
      <c r="H476" s="10">
        <v>4</v>
      </c>
      <c r="I476" s="2">
        <v>291.94619220186502</v>
      </c>
      <c r="J476" t="s">
        <v>10</v>
      </c>
    </row>
    <row r="477" spans="1:10" x14ac:dyDescent="0.25">
      <c r="A477" t="s">
        <v>110</v>
      </c>
      <c r="B477" s="1">
        <f t="shared" si="28"/>
        <v>45022</v>
      </c>
      <c r="C477" s="1" t="str">
        <f t="shared" si="29"/>
        <v>Thursday</v>
      </c>
      <c r="D477" s="1" t="str">
        <f t="shared" si="30"/>
        <v>April</v>
      </c>
      <c r="E477" s="1" t="str">
        <f t="shared" si="31"/>
        <v>2023</v>
      </c>
      <c r="F477" t="s">
        <v>7</v>
      </c>
      <c r="G477" s="5">
        <v>1357.1938824358999</v>
      </c>
      <c r="H477" s="10">
        <v>18</v>
      </c>
      <c r="I477" s="2">
        <v>188.93918534839699</v>
      </c>
      <c r="J477" t="s">
        <v>14</v>
      </c>
    </row>
    <row r="478" spans="1:10" x14ac:dyDescent="0.25">
      <c r="A478" t="s">
        <v>110</v>
      </c>
      <c r="B478" s="1">
        <f t="shared" si="28"/>
        <v>45022</v>
      </c>
      <c r="C478" s="1" t="str">
        <f t="shared" si="29"/>
        <v>Thursday</v>
      </c>
      <c r="D478" s="1" t="str">
        <f t="shared" si="30"/>
        <v>April</v>
      </c>
      <c r="E478" s="1" t="str">
        <f t="shared" si="31"/>
        <v>2023</v>
      </c>
      <c r="F478" t="s">
        <v>9</v>
      </c>
      <c r="G478" s="5">
        <v>792.354336376932</v>
      </c>
      <c r="H478" s="10">
        <v>3</v>
      </c>
      <c r="I478" s="2">
        <v>318.51161985844101</v>
      </c>
      <c r="J478" t="s">
        <v>14</v>
      </c>
    </row>
    <row r="479" spans="1:10" x14ac:dyDescent="0.25">
      <c r="A479" t="s">
        <v>110</v>
      </c>
      <c r="B479" s="1">
        <f t="shared" si="28"/>
        <v>45022</v>
      </c>
      <c r="C479" s="1" t="str">
        <f t="shared" si="29"/>
        <v>Thursday</v>
      </c>
      <c r="D479" s="1" t="str">
        <f t="shared" si="30"/>
        <v>April</v>
      </c>
      <c r="E479" s="1" t="str">
        <f t="shared" si="31"/>
        <v>2023</v>
      </c>
      <c r="F479" t="s">
        <v>11</v>
      </c>
      <c r="G479" s="5">
        <v>682.18433685725699</v>
      </c>
      <c r="H479" s="10">
        <v>14</v>
      </c>
      <c r="I479" s="2">
        <v>104.41932562828499</v>
      </c>
      <c r="J479" t="s">
        <v>8</v>
      </c>
    </row>
    <row r="480" spans="1:10" x14ac:dyDescent="0.25">
      <c r="A480" t="s">
        <v>110</v>
      </c>
      <c r="B480" s="1">
        <f t="shared" si="28"/>
        <v>45022</v>
      </c>
      <c r="C480" s="1" t="str">
        <f t="shared" si="29"/>
        <v>Thursday</v>
      </c>
      <c r="D480" s="1" t="str">
        <f t="shared" si="30"/>
        <v>April</v>
      </c>
      <c r="E480" s="1" t="str">
        <f t="shared" si="31"/>
        <v>2023</v>
      </c>
      <c r="F480" t="s">
        <v>13</v>
      </c>
      <c r="G480" s="5">
        <v>827.46879781984001</v>
      </c>
      <c r="H480" s="10">
        <v>6</v>
      </c>
      <c r="I480" s="2">
        <v>147.16799906381601</v>
      </c>
      <c r="J480" t="s">
        <v>12</v>
      </c>
    </row>
    <row r="481" spans="1:10" x14ac:dyDescent="0.25">
      <c r="A481" t="s">
        <v>110</v>
      </c>
      <c r="B481" s="1">
        <f t="shared" si="28"/>
        <v>45022</v>
      </c>
      <c r="C481" s="1" t="str">
        <f t="shared" si="29"/>
        <v>Thursday</v>
      </c>
      <c r="D481" s="1" t="str">
        <f t="shared" si="30"/>
        <v>April</v>
      </c>
      <c r="E481" s="1" t="str">
        <f t="shared" si="31"/>
        <v>2023</v>
      </c>
      <c r="F481" t="s">
        <v>16</v>
      </c>
      <c r="G481" s="5">
        <v>222.687312356527</v>
      </c>
      <c r="H481" s="10">
        <v>7</v>
      </c>
      <c r="I481" s="2">
        <v>63.618304112298198</v>
      </c>
      <c r="J481" t="s">
        <v>8</v>
      </c>
    </row>
    <row r="482" spans="1:10" x14ac:dyDescent="0.25">
      <c r="A482" t="s">
        <v>111</v>
      </c>
      <c r="B482" s="1">
        <f t="shared" si="28"/>
        <v>45023</v>
      </c>
      <c r="C482" s="1" t="str">
        <f t="shared" si="29"/>
        <v>Friday</v>
      </c>
      <c r="D482" s="1" t="str">
        <f t="shared" si="30"/>
        <v>April</v>
      </c>
      <c r="E482" s="1" t="str">
        <f t="shared" si="31"/>
        <v>2023</v>
      </c>
      <c r="F482" t="s">
        <v>7</v>
      </c>
      <c r="G482" s="5">
        <v>995.47452481100004</v>
      </c>
      <c r="H482" s="10">
        <v>3</v>
      </c>
      <c r="I482" s="2">
        <v>178.92973284868501</v>
      </c>
      <c r="J482" t="s">
        <v>10</v>
      </c>
    </row>
    <row r="483" spans="1:10" x14ac:dyDescent="0.25">
      <c r="A483" t="s">
        <v>111</v>
      </c>
      <c r="B483" s="1">
        <f t="shared" si="28"/>
        <v>45023</v>
      </c>
      <c r="C483" s="1" t="str">
        <f t="shared" si="29"/>
        <v>Friday</v>
      </c>
      <c r="D483" s="1" t="str">
        <f t="shared" si="30"/>
        <v>April</v>
      </c>
      <c r="E483" s="1" t="str">
        <f t="shared" si="31"/>
        <v>2023</v>
      </c>
      <c r="F483" t="s">
        <v>9</v>
      </c>
      <c r="G483" s="5">
        <v>792.354336376932</v>
      </c>
      <c r="H483" s="10">
        <v>4</v>
      </c>
      <c r="I483" s="2">
        <v>421.85699999893899</v>
      </c>
      <c r="J483" t="s">
        <v>14</v>
      </c>
    </row>
    <row r="484" spans="1:10" x14ac:dyDescent="0.25">
      <c r="A484" t="s">
        <v>111</v>
      </c>
      <c r="B484" s="1">
        <f t="shared" si="28"/>
        <v>45023</v>
      </c>
      <c r="C484" s="1" t="str">
        <f t="shared" si="29"/>
        <v>Friday</v>
      </c>
      <c r="D484" s="1" t="str">
        <f t="shared" si="30"/>
        <v>April</v>
      </c>
      <c r="E484" s="1" t="str">
        <f t="shared" si="31"/>
        <v>2023</v>
      </c>
      <c r="F484" t="s">
        <v>11</v>
      </c>
      <c r="G484" s="5">
        <v>948.11618222973004</v>
      </c>
      <c r="H484" s="10">
        <v>9</v>
      </c>
      <c r="I484" s="2">
        <v>269.47774666593699</v>
      </c>
      <c r="J484" t="s">
        <v>8</v>
      </c>
    </row>
    <row r="485" spans="1:10" x14ac:dyDescent="0.25">
      <c r="A485" t="s">
        <v>111</v>
      </c>
      <c r="B485" s="1">
        <f t="shared" si="28"/>
        <v>45023</v>
      </c>
      <c r="C485" s="1" t="str">
        <f t="shared" si="29"/>
        <v>Friday</v>
      </c>
      <c r="D485" s="1" t="str">
        <f t="shared" si="30"/>
        <v>April</v>
      </c>
      <c r="E485" s="1" t="str">
        <f t="shared" si="31"/>
        <v>2023</v>
      </c>
      <c r="F485" t="s">
        <v>13</v>
      </c>
      <c r="G485" s="5">
        <v>1513.512544427</v>
      </c>
      <c r="H485" s="10">
        <v>6</v>
      </c>
      <c r="I485" s="2">
        <v>329.51910029999999</v>
      </c>
      <c r="J485" t="s">
        <v>12</v>
      </c>
    </row>
    <row r="486" spans="1:10" x14ac:dyDescent="0.25">
      <c r="A486" t="s">
        <v>111</v>
      </c>
      <c r="B486" s="1">
        <f t="shared" si="28"/>
        <v>45023</v>
      </c>
      <c r="C486" s="1" t="str">
        <f t="shared" si="29"/>
        <v>Friday</v>
      </c>
      <c r="D486" s="1" t="str">
        <f t="shared" si="30"/>
        <v>April</v>
      </c>
      <c r="E486" s="1" t="str">
        <f t="shared" si="31"/>
        <v>2023</v>
      </c>
      <c r="F486" t="s">
        <v>16</v>
      </c>
      <c r="G486" s="5">
        <v>849.22161818129996</v>
      </c>
      <c r="H486" s="10">
        <v>1</v>
      </c>
      <c r="I486" s="2">
        <v>273.88468776706497</v>
      </c>
      <c r="J486" t="s">
        <v>14</v>
      </c>
    </row>
    <row r="487" spans="1:10" x14ac:dyDescent="0.25">
      <c r="A487" t="s">
        <v>112</v>
      </c>
      <c r="B487" s="1">
        <f t="shared" si="28"/>
        <v>45024</v>
      </c>
      <c r="C487" s="1" t="str">
        <f t="shared" si="29"/>
        <v>Saturday</v>
      </c>
      <c r="D487" s="1" t="str">
        <f t="shared" si="30"/>
        <v>April</v>
      </c>
      <c r="E487" s="1" t="str">
        <f t="shared" si="31"/>
        <v>2023</v>
      </c>
      <c r="F487" t="s">
        <v>7</v>
      </c>
      <c r="G487" s="5">
        <v>1311.9714621881999</v>
      </c>
      <c r="H487" s="10">
        <v>1</v>
      </c>
      <c r="I487" s="2">
        <v>462.15698117454298</v>
      </c>
      <c r="J487" t="s">
        <v>12</v>
      </c>
    </row>
    <row r="488" spans="1:10" x14ac:dyDescent="0.25">
      <c r="A488" t="s">
        <v>112</v>
      </c>
      <c r="B488" s="1">
        <f t="shared" si="28"/>
        <v>45024</v>
      </c>
      <c r="C488" s="1" t="str">
        <f t="shared" si="29"/>
        <v>Saturday</v>
      </c>
      <c r="D488" s="1" t="str">
        <f t="shared" si="30"/>
        <v>April</v>
      </c>
      <c r="E488" s="1" t="str">
        <f t="shared" si="31"/>
        <v>2023</v>
      </c>
      <c r="F488" t="s">
        <v>9</v>
      </c>
      <c r="G488" s="5">
        <v>1242.6787614138</v>
      </c>
      <c r="H488" s="10">
        <v>11</v>
      </c>
      <c r="I488" s="2">
        <v>308.97421770563898</v>
      </c>
      <c r="J488" t="s">
        <v>14</v>
      </c>
    </row>
    <row r="489" spans="1:10" x14ac:dyDescent="0.25">
      <c r="A489" t="s">
        <v>112</v>
      </c>
      <c r="B489" s="1">
        <f t="shared" si="28"/>
        <v>45024</v>
      </c>
      <c r="C489" s="1" t="str">
        <f t="shared" si="29"/>
        <v>Saturday</v>
      </c>
      <c r="D489" s="1" t="str">
        <f t="shared" si="30"/>
        <v>April</v>
      </c>
      <c r="E489" s="1" t="str">
        <f t="shared" si="31"/>
        <v>2023</v>
      </c>
      <c r="F489" t="s">
        <v>11</v>
      </c>
      <c r="G489" s="5">
        <v>786.86423549513995</v>
      </c>
      <c r="H489" s="10">
        <v>8</v>
      </c>
      <c r="I489" s="2">
        <v>132.26354368946599</v>
      </c>
      <c r="J489" t="s">
        <v>8</v>
      </c>
    </row>
    <row r="490" spans="1:10" x14ac:dyDescent="0.25">
      <c r="A490" t="s">
        <v>112</v>
      </c>
      <c r="B490" s="1">
        <f t="shared" si="28"/>
        <v>45024</v>
      </c>
      <c r="C490" s="1" t="str">
        <f t="shared" si="29"/>
        <v>Saturday</v>
      </c>
      <c r="D490" s="1" t="str">
        <f t="shared" si="30"/>
        <v>April</v>
      </c>
      <c r="E490" s="1" t="str">
        <f t="shared" si="31"/>
        <v>2023</v>
      </c>
      <c r="F490" t="s">
        <v>13</v>
      </c>
      <c r="G490" s="5">
        <v>19.612449999999999</v>
      </c>
      <c r="H490" s="10">
        <v>19</v>
      </c>
      <c r="I490" s="2">
        <v>132.972605133613</v>
      </c>
      <c r="J490" t="s">
        <v>14</v>
      </c>
    </row>
    <row r="491" spans="1:10" x14ac:dyDescent="0.25">
      <c r="A491" t="s">
        <v>112</v>
      </c>
      <c r="B491" s="1">
        <f t="shared" si="28"/>
        <v>45024</v>
      </c>
      <c r="C491" s="1" t="str">
        <f t="shared" si="29"/>
        <v>Saturday</v>
      </c>
      <c r="D491" s="1" t="str">
        <f t="shared" si="30"/>
        <v>April</v>
      </c>
      <c r="E491" s="1" t="str">
        <f t="shared" si="31"/>
        <v>2023</v>
      </c>
      <c r="F491" t="s">
        <v>16</v>
      </c>
      <c r="G491" s="5">
        <v>773.97463889614403</v>
      </c>
      <c r="H491" s="10">
        <v>1</v>
      </c>
      <c r="I491" s="2">
        <v>180.32210222558001</v>
      </c>
      <c r="J491" t="s">
        <v>14</v>
      </c>
    </row>
    <row r="492" spans="1:10" x14ac:dyDescent="0.25">
      <c r="A492" t="s">
        <v>113</v>
      </c>
      <c r="B492" s="1">
        <f t="shared" si="28"/>
        <v>45025</v>
      </c>
      <c r="C492" s="1" t="str">
        <f t="shared" si="29"/>
        <v>Sunday</v>
      </c>
      <c r="D492" s="1" t="str">
        <f t="shared" si="30"/>
        <v>April</v>
      </c>
      <c r="E492" s="1" t="str">
        <f t="shared" si="31"/>
        <v>2023</v>
      </c>
      <c r="F492" t="s">
        <v>7</v>
      </c>
      <c r="G492" s="5">
        <v>836.92212288292001</v>
      </c>
      <c r="H492" s="10">
        <v>3</v>
      </c>
      <c r="I492" s="2">
        <v>92.274782204987901</v>
      </c>
      <c r="J492" t="s">
        <v>8</v>
      </c>
    </row>
    <row r="493" spans="1:10" x14ac:dyDescent="0.25">
      <c r="A493" t="s">
        <v>113</v>
      </c>
      <c r="B493" s="1">
        <f t="shared" si="28"/>
        <v>45025</v>
      </c>
      <c r="C493" s="1" t="str">
        <f t="shared" si="29"/>
        <v>Sunday</v>
      </c>
      <c r="D493" s="1" t="str">
        <f t="shared" si="30"/>
        <v>April</v>
      </c>
      <c r="E493" s="1" t="str">
        <f t="shared" si="31"/>
        <v>2023</v>
      </c>
      <c r="F493" t="s">
        <v>9</v>
      </c>
      <c r="G493" s="5">
        <v>155.44917594699999</v>
      </c>
      <c r="H493" s="10">
        <v>8</v>
      </c>
      <c r="I493" s="2">
        <v>217.38730376180899</v>
      </c>
      <c r="J493" t="s">
        <v>12</v>
      </c>
    </row>
    <row r="494" spans="1:10" x14ac:dyDescent="0.25">
      <c r="A494" t="s">
        <v>113</v>
      </c>
      <c r="B494" s="1">
        <f t="shared" si="28"/>
        <v>45025</v>
      </c>
      <c r="C494" s="1" t="str">
        <f t="shared" si="29"/>
        <v>Sunday</v>
      </c>
      <c r="D494" s="1" t="str">
        <f t="shared" si="30"/>
        <v>April</v>
      </c>
      <c r="E494" s="1" t="str">
        <f t="shared" si="31"/>
        <v>2023</v>
      </c>
      <c r="F494" t="s">
        <v>11</v>
      </c>
      <c r="G494" s="5">
        <v>677.17196427099998</v>
      </c>
      <c r="H494" s="10">
        <v>5</v>
      </c>
      <c r="I494" s="2">
        <v>201.80799498103701</v>
      </c>
      <c r="J494" t="s">
        <v>14</v>
      </c>
    </row>
    <row r="495" spans="1:10" x14ac:dyDescent="0.25">
      <c r="A495" t="s">
        <v>113</v>
      </c>
      <c r="B495" s="1">
        <f t="shared" si="28"/>
        <v>45025</v>
      </c>
      <c r="C495" s="1" t="str">
        <f t="shared" si="29"/>
        <v>Sunday</v>
      </c>
      <c r="D495" s="1" t="str">
        <f t="shared" si="30"/>
        <v>April</v>
      </c>
      <c r="E495" s="1" t="str">
        <f t="shared" si="31"/>
        <v>2023</v>
      </c>
      <c r="F495" t="s">
        <v>13</v>
      </c>
      <c r="G495" s="5">
        <v>466.41753757999999</v>
      </c>
      <c r="H495" s="10">
        <v>8</v>
      </c>
      <c r="I495" s="2">
        <v>83.727226032618503</v>
      </c>
      <c r="J495" t="s">
        <v>12</v>
      </c>
    </row>
    <row r="496" spans="1:10" x14ac:dyDescent="0.25">
      <c r="A496" t="s">
        <v>113</v>
      </c>
      <c r="B496" s="1">
        <f t="shared" si="28"/>
        <v>45025</v>
      </c>
      <c r="C496" s="1" t="str">
        <f t="shared" si="29"/>
        <v>Sunday</v>
      </c>
      <c r="D496" s="1" t="str">
        <f t="shared" si="30"/>
        <v>April</v>
      </c>
      <c r="E496" s="1" t="str">
        <f t="shared" si="31"/>
        <v>2023</v>
      </c>
      <c r="F496" t="s">
        <v>16</v>
      </c>
      <c r="G496" s="5">
        <v>18.933778973799999</v>
      </c>
      <c r="H496" s="10">
        <v>17</v>
      </c>
      <c r="I496" s="2">
        <v>190.318642642246</v>
      </c>
      <c r="J496" t="s">
        <v>14</v>
      </c>
    </row>
    <row r="497" spans="1:10" x14ac:dyDescent="0.25">
      <c r="A497" t="s">
        <v>114</v>
      </c>
      <c r="B497" s="1">
        <f t="shared" si="28"/>
        <v>45026</v>
      </c>
      <c r="C497" s="1" t="str">
        <f t="shared" si="29"/>
        <v>Monday</v>
      </c>
      <c r="D497" s="1" t="str">
        <f t="shared" si="30"/>
        <v>April</v>
      </c>
      <c r="E497" s="1" t="str">
        <f t="shared" si="31"/>
        <v>2023</v>
      </c>
      <c r="F497" t="s">
        <v>7</v>
      </c>
      <c r="G497" s="5">
        <v>745.663673399</v>
      </c>
      <c r="H497" s="10">
        <v>8</v>
      </c>
      <c r="I497" s="2">
        <v>214.286482024268</v>
      </c>
      <c r="J497" t="s">
        <v>12</v>
      </c>
    </row>
    <row r="498" spans="1:10" x14ac:dyDescent="0.25">
      <c r="A498" t="s">
        <v>114</v>
      </c>
      <c r="B498" s="1">
        <f t="shared" si="28"/>
        <v>45026</v>
      </c>
      <c r="C498" s="1" t="str">
        <f t="shared" si="29"/>
        <v>Monday</v>
      </c>
      <c r="D498" s="1" t="str">
        <f t="shared" si="30"/>
        <v>April</v>
      </c>
      <c r="E498" s="1" t="str">
        <f t="shared" si="31"/>
        <v>2023</v>
      </c>
      <c r="F498" t="s">
        <v>9</v>
      </c>
      <c r="G498" s="5">
        <v>741.58488929297596</v>
      </c>
      <c r="H498" s="10">
        <v>9</v>
      </c>
      <c r="I498" s="2">
        <v>217.41138830257</v>
      </c>
      <c r="J498" t="s">
        <v>12</v>
      </c>
    </row>
    <row r="499" spans="1:10" x14ac:dyDescent="0.25">
      <c r="A499" t="s">
        <v>114</v>
      </c>
      <c r="B499" s="1">
        <f t="shared" si="28"/>
        <v>45026</v>
      </c>
      <c r="C499" s="1" t="str">
        <f t="shared" si="29"/>
        <v>Monday</v>
      </c>
      <c r="D499" s="1" t="str">
        <f t="shared" si="30"/>
        <v>April</v>
      </c>
      <c r="E499" s="1" t="str">
        <f t="shared" si="31"/>
        <v>2023</v>
      </c>
      <c r="F499" t="s">
        <v>11</v>
      </c>
      <c r="G499" s="5">
        <v>735.86141553278003</v>
      </c>
      <c r="H499" s="10">
        <v>18</v>
      </c>
      <c r="I499" s="2">
        <v>144.71792751539701</v>
      </c>
      <c r="J499" t="s">
        <v>14</v>
      </c>
    </row>
    <row r="500" spans="1:10" x14ac:dyDescent="0.25">
      <c r="A500" t="s">
        <v>114</v>
      </c>
      <c r="B500" s="1">
        <f t="shared" si="28"/>
        <v>45026</v>
      </c>
      <c r="C500" s="1" t="str">
        <f t="shared" si="29"/>
        <v>Monday</v>
      </c>
      <c r="D500" s="1" t="str">
        <f t="shared" si="30"/>
        <v>April</v>
      </c>
      <c r="E500" s="1" t="str">
        <f t="shared" si="31"/>
        <v>2023</v>
      </c>
      <c r="F500" t="s">
        <v>13</v>
      </c>
      <c r="G500" s="5">
        <v>1436.685672433</v>
      </c>
      <c r="H500" s="10">
        <v>16</v>
      </c>
      <c r="I500" s="2">
        <v>493.545951932322</v>
      </c>
      <c r="J500" t="s">
        <v>14</v>
      </c>
    </row>
    <row r="501" spans="1:10" x14ac:dyDescent="0.25">
      <c r="A501" t="s">
        <v>114</v>
      </c>
      <c r="B501" s="1">
        <f t="shared" si="28"/>
        <v>45026</v>
      </c>
      <c r="C501" s="1" t="str">
        <f t="shared" si="29"/>
        <v>Monday</v>
      </c>
      <c r="D501" s="1" t="str">
        <f t="shared" si="30"/>
        <v>April</v>
      </c>
      <c r="E501" s="1" t="str">
        <f t="shared" si="31"/>
        <v>2023</v>
      </c>
      <c r="F501" t="s">
        <v>16</v>
      </c>
      <c r="G501" s="5">
        <v>1539.7814725569001</v>
      </c>
      <c r="H501" s="10">
        <v>2</v>
      </c>
      <c r="I501" s="2">
        <v>213.14998433900899</v>
      </c>
      <c r="J501" t="s">
        <v>10</v>
      </c>
    </row>
    <row r="502" spans="1:10" x14ac:dyDescent="0.25">
      <c r="A502" t="s">
        <v>115</v>
      </c>
      <c r="B502" s="1">
        <f t="shared" si="28"/>
        <v>45027</v>
      </c>
      <c r="C502" s="1" t="str">
        <f t="shared" si="29"/>
        <v>Tuesday</v>
      </c>
      <c r="D502" s="1" t="str">
        <f t="shared" si="30"/>
        <v>April</v>
      </c>
      <c r="E502" s="1" t="str">
        <f t="shared" si="31"/>
        <v>2023</v>
      </c>
      <c r="F502" t="s">
        <v>7</v>
      </c>
      <c r="G502" s="5">
        <v>168.98633435266001</v>
      </c>
      <c r="H502" s="10">
        <v>9</v>
      </c>
      <c r="I502" s="2">
        <v>226.251072208967</v>
      </c>
      <c r="J502" t="s">
        <v>10</v>
      </c>
    </row>
    <row r="503" spans="1:10" x14ac:dyDescent="0.25">
      <c r="A503" t="s">
        <v>115</v>
      </c>
      <c r="B503" s="1">
        <f t="shared" si="28"/>
        <v>45027</v>
      </c>
      <c r="C503" s="1" t="str">
        <f t="shared" si="29"/>
        <v>Tuesday</v>
      </c>
      <c r="D503" s="1" t="str">
        <f t="shared" si="30"/>
        <v>April</v>
      </c>
      <c r="E503" s="1" t="str">
        <f t="shared" si="31"/>
        <v>2023</v>
      </c>
      <c r="F503" t="s">
        <v>9</v>
      </c>
      <c r="G503" s="5">
        <v>727.59367125799997</v>
      </c>
      <c r="H503" s="10">
        <v>14</v>
      </c>
      <c r="I503" s="2">
        <v>168.652309014678</v>
      </c>
      <c r="J503" t="s">
        <v>8</v>
      </c>
    </row>
    <row r="504" spans="1:10" x14ac:dyDescent="0.25">
      <c r="A504" t="s">
        <v>115</v>
      </c>
      <c r="B504" s="1">
        <f t="shared" si="28"/>
        <v>45027</v>
      </c>
      <c r="C504" s="1" t="str">
        <f t="shared" si="29"/>
        <v>Tuesday</v>
      </c>
      <c r="D504" s="1" t="str">
        <f t="shared" si="30"/>
        <v>April</v>
      </c>
      <c r="E504" s="1" t="str">
        <f t="shared" si="31"/>
        <v>2023</v>
      </c>
      <c r="F504" t="s">
        <v>11</v>
      </c>
      <c r="G504" s="5">
        <v>846.56483333492997</v>
      </c>
      <c r="H504" s="10">
        <v>12</v>
      </c>
      <c r="I504" s="2">
        <v>134.80795503454601</v>
      </c>
      <c r="J504" t="s">
        <v>12</v>
      </c>
    </row>
    <row r="505" spans="1:10" x14ac:dyDescent="0.25">
      <c r="A505" t="s">
        <v>115</v>
      </c>
      <c r="B505" s="1">
        <f t="shared" si="28"/>
        <v>45027</v>
      </c>
      <c r="C505" s="1" t="str">
        <f t="shared" si="29"/>
        <v>Tuesday</v>
      </c>
      <c r="D505" s="1" t="str">
        <f t="shared" si="30"/>
        <v>April</v>
      </c>
      <c r="E505" s="1" t="str">
        <f t="shared" si="31"/>
        <v>2023</v>
      </c>
      <c r="F505" t="s">
        <v>13</v>
      </c>
      <c r="G505" s="5">
        <v>771.87997777999999</v>
      </c>
      <c r="H505" s="10">
        <v>17</v>
      </c>
      <c r="I505" s="2">
        <v>226.734528471218</v>
      </c>
      <c r="J505" t="s">
        <v>10</v>
      </c>
    </row>
    <row r="506" spans="1:10" x14ac:dyDescent="0.25">
      <c r="A506" t="s">
        <v>115</v>
      </c>
      <c r="B506" s="1">
        <f t="shared" si="28"/>
        <v>45027</v>
      </c>
      <c r="C506" s="1" t="str">
        <f t="shared" si="29"/>
        <v>Tuesday</v>
      </c>
      <c r="D506" s="1" t="str">
        <f t="shared" si="30"/>
        <v>April</v>
      </c>
      <c r="E506" s="1" t="str">
        <f t="shared" si="31"/>
        <v>2023</v>
      </c>
      <c r="F506" t="s">
        <v>16</v>
      </c>
      <c r="G506" s="5">
        <v>636.26281634523104</v>
      </c>
      <c r="H506" s="10">
        <v>7</v>
      </c>
      <c r="I506" s="2">
        <v>225.20796079803199</v>
      </c>
      <c r="J506" t="s">
        <v>8</v>
      </c>
    </row>
    <row r="507" spans="1:10" x14ac:dyDescent="0.25">
      <c r="A507" t="s">
        <v>116</v>
      </c>
      <c r="B507" s="1">
        <f t="shared" si="28"/>
        <v>45028</v>
      </c>
      <c r="C507" s="1" t="str">
        <f t="shared" si="29"/>
        <v>Wednesday</v>
      </c>
      <c r="D507" s="1" t="str">
        <f t="shared" si="30"/>
        <v>April</v>
      </c>
      <c r="E507" s="1" t="str">
        <f t="shared" si="31"/>
        <v>2023</v>
      </c>
      <c r="F507" t="s">
        <v>7</v>
      </c>
      <c r="G507" s="5">
        <v>134.645549883</v>
      </c>
      <c r="H507" s="10">
        <v>15</v>
      </c>
      <c r="I507" s="2">
        <v>235.514287445593</v>
      </c>
      <c r="J507" t="s">
        <v>8</v>
      </c>
    </row>
    <row r="508" spans="1:10" x14ac:dyDescent="0.25">
      <c r="A508" t="s">
        <v>116</v>
      </c>
      <c r="B508" s="1">
        <f t="shared" si="28"/>
        <v>45028</v>
      </c>
      <c r="C508" s="1" t="str">
        <f t="shared" si="29"/>
        <v>Wednesday</v>
      </c>
      <c r="D508" s="1" t="str">
        <f t="shared" si="30"/>
        <v>April</v>
      </c>
      <c r="E508" s="1" t="str">
        <f t="shared" si="31"/>
        <v>2023</v>
      </c>
      <c r="F508" t="s">
        <v>9</v>
      </c>
      <c r="G508" s="5">
        <v>1111.748713</v>
      </c>
      <c r="H508" s="10">
        <v>12</v>
      </c>
      <c r="I508" s="2">
        <v>129.13790898704499</v>
      </c>
      <c r="J508" t="s">
        <v>14</v>
      </c>
    </row>
    <row r="509" spans="1:10" x14ac:dyDescent="0.25">
      <c r="A509" t="s">
        <v>116</v>
      </c>
      <c r="B509" s="1">
        <f t="shared" si="28"/>
        <v>45028</v>
      </c>
      <c r="C509" s="1" t="str">
        <f t="shared" si="29"/>
        <v>Wednesday</v>
      </c>
      <c r="D509" s="1" t="str">
        <f t="shared" si="30"/>
        <v>April</v>
      </c>
      <c r="E509" s="1" t="str">
        <f t="shared" si="31"/>
        <v>2023</v>
      </c>
      <c r="F509" t="s">
        <v>11</v>
      </c>
      <c r="G509" s="5">
        <v>1479.7367544809999</v>
      </c>
      <c r="H509" s="10">
        <v>11</v>
      </c>
      <c r="I509" s="2">
        <v>267.53549206534802</v>
      </c>
      <c r="J509" t="s">
        <v>14</v>
      </c>
    </row>
    <row r="510" spans="1:10" x14ac:dyDescent="0.25">
      <c r="A510" t="s">
        <v>116</v>
      </c>
      <c r="B510" s="1">
        <f t="shared" si="28"/>
        <v>45028</v>
      </c>
      <c r="C510" s="1" t="str">
        <f t="shared" si="29"/>
        <v>Wednesday</v>
      </c>
      <c r="D510" s="1" t="str">
        <f t="shared" si="30"/>
        <v>April</v>
      </c>
      <c r="E510" s="1" t="str">
        <f t="shared" si="31"/>
        <v>2023</v>
      </c>
      <c r="F510" t="s">
        <v>13</v>
      </c>
      <c r="G510" s="5">
        <v>1119.9638552578999</v>
      </c>
      <c r="H510" s="10">
        <v>18</v>
      </c>
      <c r="I510" s="2">
        <v>183.72446130667601</v>
      </c>
      <c r="J510" t="s">
        <v>10</v>
      </c>
    </row>
    <row r="511" spans="1:10" x14ac:dyDescent="0.25">
      <c r="A511" t="s">
        <v>116</v>
      </c>
      <c r="B511" s="1">
        <f t="shared" si="28"/>
        <v>45028</v>
      </c>
      <c r="C511" s="1" t="str">
        <f t="shared" si="29"/>
        <v>Wednesday</v>
      </c>
      <c r="D511" s="1" t="str">
        <f t="shared" si="30"/>
        <v>April</v>
      </c>
      <c r="E511" s="1" t="str">
        <f t="shared" si="31"/>
        <v>2023</v>
      </c>
      <c r="F511" t="s">
        <v>16</v>
      </c>
      <c r="G511" s="5">
        <v>84.592931862450996</v>
      </c>
      <c r="H511" s="10">
        <v>12</v>
      </c>
      <c r="I511" s="2">
        <v>257.34137619928799</v>
      </c>
      <c r="J511" t="s">
        <v>10</v>
      </c>
    </row>
    <row r="512" spans="1:10" x14ac:dyDescent="0.25">
      <c r="A512" t="s">
        <v>117</v>
      </c>
      <c r="B512" s="1">
        <f t="shared" si="28"/>
        <v>45029</v>
      </c>
      <c r="C512" s="1" t="str">
        <f t="shared" si="29"/>
        <v>Thursday</v>
      </c>
      <c r="D512" s="1" t="str">
        <f t="shared" si="30"/>
        <v>April</v>
      </c>
      <c r="E512" s="1" t="str">
        <f t="shared" si="31"/>
        <v>2023</v>
      </c>
      <c r="F512" t="s">
        <v>7</v>
      </c>
      <c r="G512" s="5">
        <v>1241.3374379669999</v>
      </c>
      <c r="H512" s="10">
        <v>3</v>
      </c>
      <c r="I512" s="2">
        <v>234.883674913531</v>
      </c>
      <c r="J512" t="s">
        <v>10</v>
      </c>
    </row>
    <row r="513" spans="1:10" x14ac:dyDescent="0.25">
      <c r="A513" t="s">
        <v>117</v>
      </c>
      <c r="B513" s="1">
        <f t="shared" si="28"/>
        <v>45029</v>
      </c>
      <c r="C513" s="1" t="str">
        <f t="shared" si="29"/>
        <v>Thursday</v>
      </c>
      <c r="D513" s="1" t="str">
        <f t="shared" si="30"/>
        <v>April</v>
      </c>
      <c r="E513" s="1" t="str">
        <f t="shared" si="31"/>
        <v>2023</v>
      </c>
      <c r="F513" t="s">
        <v>9</v>
      </c>
      <c r="G513" s="5">
        <v>1255.6536000000001</v>
      </c>
      <c r="H513" s="10">
        <v>7</v>
      </c>
      <c r="I513" s="2">
        <v>342.983111563867</v>
      </c>
      <c r="J513" t="s">
        <v>8</v>
      </c>
    </row>
    <row r="514" spans="1:10" x14ac:dyDescent="0.25">
      <c r="A514" t="s">
        <v>117</v>
      </c>
      <c r="B514" s="1">
        <f t="shared" si="28"/>
        <v>45029</v>
      </c>
      <c r="C514" s="1" t="str">
        <f t="shared" si="29"/>
        <v>Thursday</v>
      </c>
      <c r="D514" s="1" t="str">
        <f t="shared" si="30"/>
        <v>April</v>
      </c>
      <c r="E514" s="1" t="str">
        <f t="shared" si="31"/>
        <v>2023</v>
      </c>
      <c r="F514" t="s">
        <v>11</v>
      </c>
      <c r="G514" s="5">
        <v>813.28654152758997</v>
      </c>
      <c r="H514" s="10">
        <v>10</v>
      </c>
      <c r="I514" s="2">
        <v>217.48314794004401</v>
      </c>
      <c r="J514" t="s">
        <v>14</v>
      </c>
    </row>
    <row r="515" spans="1:10" x14ac:dyDescent="0.25">
      <c r="A515" t="s">
        <v>117</v>
      </c>
      <c r="B515" s="1">
        <f t="shared" ref="B515:B578" si="32">DATE(VALUE(RIGHT(A515,4)),VALUE(LEFT(A515,FIND("/",A515)-1)),VALUE(MID(A515,FIND("/",A515)+1,FIND("/",A515,FIND("/",A515)+1)-FIND("/",A515)-1)))</f>
        <v>45029</v>
      </c>
      <c r="C515" s="1" t="str">
        <f t="shared" ref="C515:C578" si="33">TEXT(B515,"DDDD")</f>
        <v>Thursday</v>
      </c>
      <c r="D515" s="1" t="str">
        <f t="shared" ref="D515:D578" si="34">TEXT(B515,"MMMM")</f>
        <v>April</v>
      </c>
      <c r="E515" s="1" t="str">
        <f t="shared" ref="E515:E578" si="35">TEXT(B515,"YYYY")</f>
        <v>2023</v>
      </c>
      <c r="F515" t="s">
        <v>13</v>
      </c>
      <c r="G515" s="5">
        <v>1143.42699898823</v>
      </c>
      <c r="H515" s="10">
        <v>1</v>
      </c>
      <c r="I515" s="2">
        <v>368.770778881556</v>
      </c>
      <c r="J515" t="s">
        <v>10</v>
      </c>
    </row>
    <row r="516" spans="1:10" x14ac:dyDescent="0.25">
      <c r="A516" t="s">
        <v>117</v>
      </c>
      <c r="B516" s="1">
        <f t="shared" si="32"/>
        <v>45029</v>
      </c>
      <c r="C516" s="1" t="str">
        <f t="shared" si="33"/>
        <v>Thursday</v>
      </c>
      <c r="D516" s="1" t="str">
        <f t="shared" si="34"/>
        <v>April</v>
      </c>
      <c r="E516" s="1" t="str">
        <f t="shared" si="35"/>
        <v>2023</v>
      </c>
      <c r="F516" t="s">
        <v>16</v>
      </c>
      <c r="G516" s="5">
        <v>1386.3947421457999</v>
      </c>
      <c r="H516" s="10">
        <v>11</v>
      </c>
      <c r="I516" s="2">
        <v>267.96054433661902</v>
      </c>
      <c r="J516" t="s">
        <v>8</v>
      </c>
    </row>
    <row r="517" spans="1:10" x14ac:dyDescent="0.25">
      <c r="A517" t="s">
        <v>118</v>
      </c>
      <c r="B517" s="1">
        <f t="shared" si="32"/>
        <v>45030</v>
      </c>
      <c r="C517" s="1" t="str">
        <f t="shared" si="33"/>
        <v>Friday</v>
      </c>
      <c r="D517" s="1" t="str">
        <f t="shared" si="34"/>
        <v>April</v>
      </c>
      <c r="E517" s="1" t="str">
        <f t="shared" si="35"/>
        <v>2023</v>
      </c>
      <c r="F517" t="s">
        <v>7</v>
      </c>
      <c r="G517" s="5">
        <v>873.15641170000004</v>
      </c>
      <c r="H517" s="10">
        <v>14</v>
      </c>
      <c r="I517" s="2">
        <v>248.67113478526699</v>
      </c>
      <c r="J517" t="s">
        <v>10</v>
      </c>
    </row>
    <row r="518" spans="1:10" x14ac:dyDescent="0.25">
      <c r="A518" t="s">
        <v>118</v>
      </c>
      <c r="B518" s="1">
        <f t="shared" si="32"/>
        <v>45030</v>
      </c>
      <c r="C518" s="1" t="str">
        <f t="shared" si="33"/>
        <v>Friday</v>
      </c>
      <c r="D518" s="1" t="str">
        <f t="shared" si="34"/>
        <v>April</v>
      </c>
      <c r="E518" s="1" t="str">
        <f t="shared" si="35"/>
        <v>2023</v>
      </c>
      <c r="F518" t="s">
        <v>9</v>
      </c>
      <c r="G518" s="5">
        <v>73.875468913592997</v>
      </c>
      <c r="H518" s="10">
        <v>9</v>
      </c>
      <c r="I518" s="2">
        <v>187.419481147065</v>
      </c>
      <c r="J518" t="s">
        <v>12</v>
      </c>
    </row>
    <row r="519" spans="1:10" x14ac:dyDescent="0.25">
      <c r="A519" t="s">
        <v>118</v>
      </c>
      <c r="B519" s="1">
        <f t="shared" si="32"/>
        <v>45030</v>
      </c>
      <c r="C519" s="1" t="str">
        <f t="shared" si="33"/>
        <v>Friday</v>
      </c>
      <c r="D519" s="1" t="str">
        <f t="shared" si="34"/>
        <v>April</v>
      </c>
      <c r="E519" s="1" t="str">
        <f t="shared" si="35"/>
        <v>2023</v>
      </c>
      <c r="F519" t="s">
        <v>11</v>
      </c>
      <c r="G519" s="5">
        <v>1446.241473993</v>
      </c>
      <c r="H519" s="10">
        <v>10</v>
      </c>
      <c r="I519" s="2">
        <v>474.72571699999997</v>
      </c>
      <c r="J519" t="s">
        <v>12</v>
      </c>
    </row>
    <row r="520" spans="1:10" x14ac:dyDescent="0.25">
      <c r="A520" t="s">
        <v>118</v>
      </c>
      <c r="B520" s="1">
        <f t="shared" si="32"/>
        <v>45030</v>
      </c>
      <c r="C520" s="1" t="str">
        <f t="shared" si="33"/>
        <v>Friday</v>
      </c>
      <c r="D520" s="1" t="str">
        <f t="shared" si="34"/>
        <v>April</v>
      </c>
      <c r="E520" s="1" t="str">
        <f t="shared" si="35"/>
        <v>2023</v>
      </c>
      <c r="F520" t="s">
        <v>13</v>
      </c>
      <c r="G520" s="5">
        <v>1248.9831673519</v>
      </c>
      <c r="H520" s="10">
        <v>11</v>
      </c>
      <c r="I520" s="2">
        <v>407.97762562971099</v>
      </c>
      <c r="J520" t="s">
        <v>10</v>
      </c>
    </row>
    <row r="521" spans="1:10" x14ac:dyDescent="0.25">
      <c r="A521" t="s">
        <v>118</v>
      </c>
      <c r="B521" s="1">
        <f t="shared" si="32"/>
        <v>45030</v>
      </c>
      <c r="C521" s="1" t="str">
        <f t="shared" si="33"/>
        <v>Friday</v>
      </c>
      <c r="D521" s="1" t="str">
        <f t="shared" si="34"/>
        <v>April</v>
      </c>
      <c r="E521" s="1" t="str">
        <f t="shared" si="35"/>
        <v>2023</v>
      </c>
      <c r="F521" t="s">
        <v>16</v>
      </c>
      <c r="G521" s="5">
        <v>1239.3481914819999</v>
      </c>
      <c r="H521" s="10">
        <v>6</v>
      </c>
      <c r="I521" s="2">
        <v>449.874797640503</v>
      </c>
      <c r="J521" t="s">
        <v>8</v>
      </c>
    </row>
    <row r="522" spans="1:10" x14ac:dyDescent="0.25">
      <c r="A522" t="s">
        <v>119</v>
      </c>
      <c r="B522" s="1">
        <f t="shared" si="32"/>
        <v>45031</v>
      </c>
      <c r="C522" s="1" t="str">
        <f t="shared" si="33"/>
        <v>Saturday</v>
      </c>
      <c r="D522" s="1" t="str">
        <f t="shared" si="34"/>
        <v>April</v>
      </c>
      <c r="E522" s="1" t="str">
        <f t="shared" si="35"/>
        <v>2023</v>
      </c>
      <c r="F522" t="s">
        <v>7</v>
      </c>
      <c r="G522" s="5">
        <v>836.92212288292001</v>
      </c>
      <c r="H522" s="10">
        <v>4</v>
      </c>
      <c r="I522" s="2">
        <v>289.30405032633797</v>
      </c>
      <c r="J522" t="s">
        <v>14</v>
      </c>
    </row>
    <row r="523" spans="1:10" x14ac:dyDescent="0.25">
      <c r="A523" t="s">
        <v>119</v>
      </c>
      <c r="B523" s="1">
        <f t="shared" si="32"/>
        <v>45031</v>
      </c>
      <c r="C523" s="1" t="str">
        <f t="shared" si="33"/>
        <v>Saturday</v>
      </c>
      <c r="D523" s="1" t="str">
        <f t="shared" si="34"/>
        <v>April</v>
      </c>
      <c r="E523" s="1" t="str">
        <f t="shared" si="35"/>
        <v>2023</v>
      </c>
      <c r="F523" t="s">
        <v>9</v>
      </c>
      <c r="G523" s="5">
        <v>717.52314479485995</v>
      </c>
      <c r="H523" s="10">
        <v>3</v>
      </c>
      <c r="I523" s="2">
        <v>101.41965048832201</v>
      </c>
      <c r="J523" t="s">
        <v>12</v>
      </c>
    </row>
    <row r="524" spans="1:10" x14ac:dyDescent="0.25">
      <c r="A524" t="s">
        <v>119</v>
      </c>
      <c r="B524" s="1">
        <f t="shared" si="32"/>
        <v>45031</v>
      </c>
      <c r="C524" s="1" t="str">
        <f t="shared" si="33"/>
        <v>Saturday</v>
      </c>
      <c r="D524" s="1" t="str">
        <f t="shared" si="34"/>
        <v>April</v>
      </c>
      <c r="E524" s="1" t="str">
        <f t="shared" si="35"/>
        <v>2023</v>
      </c>
      <c r="F524" t="s">
        <v>11</v>
      </c>
      <c r="G524" s="5">
        <v>154.32769447914001</v>
      </c>
      <c r="H524" s="10">
        <v>10</v>
      </c>
      <c r="I524" s="2">
        <v>430.05238931136103</v>
      </c>
      <c r="J524" t="s">
        <v>14</v>
      </c>
    </row>
    <row r="525" spans="1:10" x14ac:dyDescent="0.25">
      <c r="A525" t="s">
        <v>119</v>
      </c>
      <c r="B525" s="1">
        <f t="shared" si="32"/>
        <v>45031</v>
      </c>
      <c r="C525" s="1" t="str">
        <f t="shared" si="33"/>
        <v>Saturday</v>
      </c>
      <c r="D525" s="1" t="str">
        <f t="shared" si="34"/>
        <v>April</v>
      </c>
      <c r="E525" s="1" t="str">
        <f t="shared" si="35"/>
        <v>2023</v>
      </c>
      <c r="F525" t="s">
        <v>13</v>
      </c>
      <c r="G525" s="5">
        <v>774.72833565965004</v>
      </c>
      <c r="H525" s="10">
        <v>13</v>
      </c>
      <c r="I525" s="2">
        <v>99.085578576664801</v>
      </c>
      <c r="J525" t="s">
        <v>10</v>
      </c>
    </row>
    <row r="526" spans="1:10" x14ac:dyDescent="0.25">
      <c r="A526" t="s">
        <v>119</v>
      </c>
      <c r="B526" s="1">
        <f t="shared" si="32"/>
        <v>45031</v>
      </c>
      <c r="C526" s="1" t="str">
        <f t="shared" si="33"/>
        <v>Saturday</v>
      </c>
      <c r="D526" s="1" t="str">
        <f t="shared" si="34"/>
        <v>April</v>
      </c>
      <c r="E526" s="1" t="str">
        <f t="shared" si="35"/>
        <v>2023</v>
      </c>
      <c r="F526" t="s">
        <v>16</v>
      </c>
      <c r="G526" s="5">
        <v>18.714317145199999</v>
      </c>
      <c r="H526" s="10">
        <v>3</v>
      </c>
      <c r="I526" s="2">
        <v>120.49702240008</v>
      </c>
      <c r="J526" t="s">
        <v>14</v>
      </c>
    </row>
    <row r="527" spans="1:10" x14ac:dyDescent="0.25">
      <c r="A527" t="s">
        <v>120</v>
      </c>
      <c r="B527" s="1">
        <f t="shared" si="32"/>
        <v>45032</v>
      </c>
      <c r="C527" s="1" t="str">
        <f t="shared" si="33"/>
        <v>Sunday</v>
      </c>
      <c r="D527" s="1" t="str">
        <f t="shared" si="34"/>
        <v>April</v>
      </c>
      <c r="E527" s="1" t="str">
        <f t="shared" si="35"/>
        <v>2023</v>
      </c>
      <c r="F527" t="s">
        <v>7</v>
      </c>
      <c r="G527" s="5">
        <v>836.92212288292001</v>
      </c>
      <c r="H527" s="10">
        <v>4</v>
      </c>
      <c r="I527" s="2">
        <v>153.21088839887699</v>
      </c>
      <c r="J527" t="s">
        <v>14</v>
      </c>
    </row>
    <row r="528" spans="1:10" x14ac:dyDescent="0.25">
      <c r="A528" t="s">
        <v>120</v>
      </c>
      <c r="B528" s="1">
        <f t="shared" si="32"/>
        <v>45032</v>
      </c>
      <c r="C528" s="1" t="str">
        <f t="shared" si="33"/>
        <v>Sunday</v>
      </c>
      <c r="D528" s="1" t="str">
        <f t="shared" si="34"/>
        <v>April</v>
      </c>
      <c r="E528" s="1" t="str">
        <f t="shared" si="35"/>
        <v>2023</v>
      </c>
      <c r="F528" t="s">
        <v>9</v>
      </c>
      <c r="G528" s="5">
        <v>137.21875774342999</v>
      </c>
      <c r="H528" s="10">
        <v>19</v>
      </c>
      <c r="I528" s="2">
        <v>326.12062797645598</v>
      </c>
      <c r="J528" t="s">
        <v>12</v>
      </c>
    </row>
    <row r="529" spans="1:10" x14ac:dyDescent="0.25">
      <c r="A529" t="s">
        <v>120</v>
      </c>
      <c r="B529" s="1">
        <f t="shared" si="32"/>
        <v>45032</v>
      </c>
      <c r="C529" s="1" t="str">
        <f t="shared" si="33"/>
        <v>Sunday</v>
      </c>
      <c r="D529" s="1" t="str">
        <f t="shared" si="34"/>
        <v>April</v>
      </c>
      <c r="E529" s="1" t="str">
        <f t="shared" si="35"/>
        <v>2023</v>
      </c>
      <c r="F529" t="s">
        <v>11</v>
      </c>
      <c r="G529" s="5">
        <v>1177.7588476349999</v>
      </c>
      <c r="H529" s="10">
        <v>19</v>
      </c>
      <c r="I529" s="2">
        <v>138.463457562233</v>
      </c>
      <c r="J529" t="s">
        <v>8</v>
      </c>
    </row>
    <row r="530" spans="1:10" x14ac:dyDescent="0.25">
      <c r="A530" t="s">
        <v>120</v>
      </c>
      <c r="B530" s="1">
        <f t="shared" si="32"/>
        <v>45032</v>
      </c>
      <c r="C530" s="1" t="str">
        <f t="shared" si="33"/>
        <v>Sunday</v>
      </c>
      <c r="D530" s="1" t="str">
        <f t="shared" si="34"/>
        <v>April</v>
      </c>
      <c r="E530" s="1" t="str">
        <f t="shared" si="35"/>
        <v>2023</v>
      </c>
      <c r="F530" t="s">
        <v>13</v>
      </c>
      <c r="G530" s="5">
        <v>746.15692945599994</v>
      </c>
      <c r="H530" s="10">
        <v>19</v>
      </c>
      <c r="I530" s="2">
        <v>270.57738754968602</v>
      </c>
      <c r="J530" t="s">
        <v>14</v>
      </c>
    </row>
    <row r="531" spans="1:10" x14ac:dyDescent="0.25">
      <c r="A531" t="s">
        <v>120</v>
      </c>
      <c r="B531" s="1">
        <f t="shared" si="32"/>
        <v>45032</v>
      </c>
      <c r="C531" s="1" t="str">
        <f t="shared" si="33"/>
        <v>Sunday</v>
      </c>
      <c r="D531" s="1" t="str">
        <f t="shared" si="34"/>
        <v>April</v>
      </c>
      <c r="E531" s="1" t="str">
        <f t="shared" si="35"/>
        <v>2023</v>
      </c>
      <c r="F531" t="s">
        <v>16</v>
      </c>
      <c r="G531" s="5">
        <v>851.87217291862999</v>
      </c>
      <c r="H531" s="10">
        <v>17</v>
      </c>
      <c r="I531" s="2">
        <v>196.10588763106799</v>
      </c>
      <c r="J531" t="s">
        <v>12</v>
      </c>
    </row>
    <row r="532" spans="1:10" x14ac:dyDescent="0.25">
      <c r="A532" t="s">
        <v>121</v>
      </c>
      <c r="B532" s="1">
        <f t="shared" si="32"/>
        <v>45033</v>
      </c>
      <c r="C532" s="1" t="str">
        <f t="shared" si="33"/>
        <v>Monday</v>
      </c>
      <c r="D532" s="1" t="str">
        <f t="shared" si="34"/>
        <v>April</v>
      </c>
      <c r="E532" s="1" t="str">
        <f t="shared" si="35"/>
        <v>2023</v>
      </c>
      <c r="F532" t="s">
        <v>7</v>
      </c>
      <c r="G532" s="5">
        <v>825.28937711640003</v>
      </c>
      <c r="H532" s="10">
        <v>15</v>
      </c>
      <c r="I532" s="2">
        <v>329.67448057366499</v>
      </c>
      <c r="J532" t="s">
        <v>14</v>
      </c>
    </row>
    <row r="533" spans="1:10" x14ac:dyDescent="0.25">
      <c r="A533" t="s">
        <v>121</v>
      </c>
      <c r="B533" s="1">
        <f t="shared" si="32"/>
        <v>45033</v>
      </c>
      <c r="C533" s="1" t="str">
        <f t="shared" si="33"/>
        <v>Monday</v>
      </c>
      <c r="D533" s="1" t="str">
        <f t="shared" si="34"/>
        <v>April</v>
      </c>
      <c r="E533" s="1" t="str">
        <f t="shared" si="35"/>
        <v>2023</v>
      </c>
      <c r="F533" t="s">
        <v>9</v>
      </c>
      <c r="G533" s="5">
        <v>948.62524736887406</v>
      </c>
      <c r="H533" s="10">
        <v>13</v>
      </c>
      <c r="I533" s="2">
        <v>144.23279824612101</v>
      </c>
      <c r="J533" t="s">
        <v>12</v>
      </c>
    </row>
    <row r="534" spans="1:10" x14ac:dyDescent="0.25">
      <c r="A534" t="s">
        <v>121</v>
      </c>
      <c r="B534" s="1">
        <f t="shared" si="32"/>
        <v>45033</v>
      </c>
      <c r="C534" s="1" t="str">
        <f t="shared" si="33"/>
        <v>Monday</v>
      </c>
      <c r="D534" s="1" t="str">
        <f t="shared" si="34"/>
        <v>April</v>
      </c>
      <c r="E534" s="1" t="str">
        <f t="shared" si="35"/>
        <v>2023</v>
      </c>
      <c r="F534" t="s">
        <v>11</v>
      </c>
      <c r="G534" s="5">
        <v>1366.31186576</v>
      </c>
      <c r="H534" s="10">
        <v>15</v>
      </c>
      <c r="I534" s="2">
        <v>304.64816917982603</v>
      </c>
      <c r="J534" t="s">
        <v>12</v>
      </c>
    </row>
    <row r="535" spans="1:10" x14ac:dyDescent="0.25">
      <c r="A535" t="s">
        <v>121</v>
      </c>
      <c r="B535" s="1">
        <f t="shared" si="32"/>
        <v>45033</v>
      </c>
      <c r="C535" s="1" t="str">
        <f t="shared" si="33"/>
        <v>Monday</v>
      </c>
      <c r="D535" s="1" t="str">
        <f t="shared" si="34"/>
        <v>April</v>
      </c>
      <c r="E535" s="1" t="str">
        <f t="shared" si="35"/>
        <v>2023</v>
      </c>
      <c r="F535" t="s">
        <v>13</v>
      </c>
      <c r="G535" s="5">
        <v>746.15692945599994</v>
      </c>
      <c r="H535" s="10">
        <v>11</v>
      </c>
      <c r="I535" s="2">
        <v>378.22584097563799</v>
      </c>
      <c r="J535" t="s">
        <v>12</v>
      </c>
    </row>
    <row r="536" spans="1:10" x14ac:dyDescent="0.25">
      <c r="A536" t="s">
        <v>121</v>
      </c>
      <c r="B536" s="1">
        <f t="shared" si="32"/>
        <v>45033</v>
      </c>
      <c r="C536" s="1" t="str">
        <f t="shared" si="33"/>
        <v>Monday</v>
      </c>
      <c r="D536" s="1" t="str">
        <f t="shared" si="34"/>
        <v>April</v>
      </c>
      <c r="E536" s="1" t="str">
        <f t="shared" si="35"/>
        <v>2023</v>
      </c>
      <c r="F536" t="s">
        <v>16</v>
      </c>
      <c r="G536" s="5">
        <v>623.99554263434004</v>
      </c>
      <c r="H536" s="10">
        <v>10</v>
      </c>
      <c r="I536" s="2">
        <v>125.01962008980099</v>
      </c>
      <c r="J536" t="s">
        <v>8</v>
      </c>
    </row>
    <row r="537" spans="1:10" x14ac:dyDescent="0.25">
      <c r="A537" t="s">
        <v>122</v>
      </c>
      <c r="B537" s="1">
        <f t="shared" si="32"/>
        <v>45034</v>
      </c>
      <c r="C537" s="1" t="str">
        <f t="shared" si="33"/>
        <v>Tuesday</v>
      </c>
      <c r="D537" s="1" t="str">
        <f t="shared" si="34"/>
        <v>April</v>
      </c>
      <c r="E537" s="1" t="str">
        <f t="shared" si="35"/>
        <v>2023</v>
      </c>
      <c r="F537" t="s">
        <v>7</v>
      </c>
      <c r="G537" s="5">
        <v>114.59333325999999</v>
      </c>
      <c r="H537" s="10">
        <v>11</v>
      </c>
      <c r="I537" s="2">
        <v>118.47594844685</v>
      </c>
      <c r="J537" t="s">
        <v>12</v>
      </c>
    </row>
    <row r="538" spans="1:10" x14ac:dyDescent="0.25">
      <c r="A538" t="s">
        <v>122</v>
      </c>
      <c r="B538" s="1">
        <f t="shared" si="32"/>
        <v>45034</v>
      </c>
      <c r="C538" s="1" t="str">
        <f t="shared" si="33"/>
        <v>Tuesday</v>
      </c>
      <c r="D538" s="1" t="str">
        <f t="shared" si="34"/>
        <v>April</v>
      </c>
      <c r="E538" s="1" t="str">
        <f t="shared" si="35"/>
        <v>2023</v>
      </c>
      <c r="F538" t="s">
        <v>9</v>
      </c>
      <c r="G538" s="5">
        <v>153.93755525180001</v>
      </c>
      <c r="H538" s="10">
        <v>13</v>
      </c>
      <c r="I538" s="2">
        <v>503.48004969924301</v>
      </c>
      <c r="J538" t="s">
        <v>10</v>
      </c>
    </row>
    <row r="539" spans="1:10" x14ac:dyDescent="0.25">
      <c r="A539" t="s">
        <v>122</v>
      </c>
      <c r="B539" s="1">
        <f t="shared" si="32"/>
        <v>45034</v>
      </c>
      <c r="C539" s="1" t="str">
        <f t="shared" si="33"/>
        <v>Tuesday</v>
      </c>
      <c r="D539" s="1" t="str">
        <f t="shared" si="34"/>
        <v>April</v>
      </c>
      <c r="E539" s="1" t="str">
        <f t="shared" si="35"/>
        <v>2023</v>
      </c>
      <c r="F539" t="s">
        <v>11</v>
      </c>
      <c r="G539" s="5">
        <v>122.46851423</v>
      </c>
      <c r="H539" s="10">
        <v>10</v>
      </c>
      <c r="I539" s="2">
        <v>434.26499645029099</v>
      </c>
      <c r="J539" t="s">
        <v>12</v>
      </c>
    </row>
    <row r="540" spans="1:10" x14ac:dyDescent="0.25">
      <c r="A540" t="s">
        <v>122</v>
      </c>
      <c r="B540" s="1">
        <f t="shared" si="32"/>
        <v>45034</v>
      </c>
      <c r="C540" s="1" t="str">
        <f t="shared" si="33"/>
        <v>Tuesday</v>
      </c>
      <c r="D540" s="1" t="str">
        <f t="shared" si="34"/>
        <v>April</v>
      </c>
      <c r="E540" s="1" t="str">
        <f t="shared" si="35"/>
        <v>2023</v>
      </c>
      <c r="F540" t="s">
        <v>13</v>
      </c>
      <c r="G540" s="5">
        <v>1154.8319790999999</v>
      </c>
      <c r="H540" s="10">
        <v>10</v>
      </c>
      <c r="I540" s="2">
        <v>439.94221912409699</v>
      </c>
      <c r="J540" t="s">
        <v>14</v>
      </c>
    </row>
    <row r="541" spans="1:10" x14ac:dyDescent="0.25">
      <c r="A541" t="s">
        <v>122</v>
      </c>
      <c r="B541" s="1">
        <f t="shared" si="32"/>
        <v>45034</v>
      </c>
      <c r="C541" s="1" t="str">
        <f t="shared" si="33"/>
        <v>Tuesday</v>
      </c>
      <c r="D541" s="1" t="str">
        <f t="shared" si="34"/>
        <v>April</v>
      </c>
      <c r="E541" s="1" t="str">
        <f t="shared" si="35"/>
        <v>2023</v>
      </c>
      <c r="F541" t="s">
        <v>16</v>
      </c>
      <c r="G541" s="5">
        <v>84.189748114259999</v>
      </c>
      <c r="H541" s="10">
        <v>6</v>
      </c>
      <c r="I541" s="2">
        <v>243.10990662075599</v>
      </c>
      <c r="J541" t="s">
        <v>12</v>
      </c>
    </row>
    <row r="542" spans="1:10" x14ac:dyDescent="0.25">
      <c r="A542" t="s">
        <v>123</v>
      </c>
      <c r="B542" s="1">
        <f t="shared" si="32"/>
        <v>45035</v>
      </c>
      <c r="C542" s="1" t="str">
        <f t="shared" si="33"/>
        <v>Wednesday</v>
      </c>
      <c r="D542" s="1" t="str">
        <f t="shared" si="34"/>
        <v>April</v>
      </c>
      <c r="E542" s="1" t="str">
        <f t="shared" si="35"/>
        <v>2023</v>
      </c>
      <c r="F542" t="s">
        <v>7</v>
      </c>
      <c r="G542" s="5">
        <v>991.74552848488997</v>
      </c>
      <c r="H542" s="10">
        <v>1</v>
      </c>
      <c r="I542" s="2">
        <v>331.306397925152</v>
      </c>
      <c r="J542" t="s">
        <v>14</v>
      </c>
    </row>
    <row r="543" spans="1:10" x14ac:dyDescent="0.25">
      <c r="A543" t="s">
        <v>123</v>
      </c>
      <c r="B543" s="1">
        <f t="shared" si="32"/>
        <v>45035</v>
      </c>
      <c r="C543" s="1" t="str">
        <f t="shared" si="33"/>
        <v>Wednesday</v>
      </c>
      <c r="D543" s="1" t="str">
        <f t="shared" si="34"/>
        <v>April</v>
      </c>
      <c r="E543" s="1" t="str">
        <f t="shared" si="35"/>
        <v>2023</v>
      </c>
      <c r="F543" t="s">
        <v>9</v>
      </c>
      <c r="G543" s="5">
        <v>1531.67547992</v>
      </c>
      <c r="H543" s="10">
        <v>6</v>
      </c>
      <c r="I543" s="2">
        <v>179.48797470207501</v>
      </c>
      <c r="J543" t="s">
        <v>12</v>
      </c>
    </row>
    <row r="544" spans="1:10" x14ac:dyDescent="0.25">
      <c r="A544" t="s">
        <v>123</v>
      </c>
      <c r="B544" s="1">
        <f t="shared" si="32"/>
        <v>45035</v>
      </c>
      <c r="C544" s="1" t="str">
        <f t="shared" si="33"/>
        <v>Wednesday</v>
      </c>
      <c r="D544" s="1" t="str">
        <f t="shared" si="34"/>
        <v>April</v>
      </c>
      <c r="E544" s="1" t="str">
        <f t="shared" si="35"/>
        <v>2023</v>
      </c>
      <c r="F544" t="s">
        <v>11</v>
      </c>
      <c r="G544" s="5">
        <v>7.4843682435119998</v>
      </c>
      <c r="H544" s="10">
        <v>4</v>
      </c>
      <c r="I544" s="2">
        <v>72.864935917093007</v>
      </c>
      <c r="J544" t="s">
        <v>14</v>
      </c>
    </row>
    <row r="545" spans="1:10" x14ac:dyDescent="0.25">
      <c r="A545" t="s">
        <v>123</v>
      </c>
      <c r="B545" s="1">
        <f t="shared" si="32"/>
        <v>45035</v>
      </c>
      <c r="C545" s="1" t="str">
        <f t="shared" si="33"/>
        <v>Wednesday</v>
      </c>
      <c r="D545" s="1" t="str">
        <f t="shared" si="34"/>
        <v>April</v>
      </c>
      <c r="E545" s="1" t="str">
        <f t="shared" si="35"/>
        <v>2023</v>
      </c>
      <c r="F545" t="s">
        <v>13</v>
      </c>
      <c r="G545" s="5">
        <v>19.537569945830001</v>
      </c>
      <c r="H545" s="10">
        <v>12</v>
      </c>
      <c r="I545" s="2">
        <v>123.643483897286</v>
      </c>
      <c r="J545" t="s">
        <v>12</v>
      </c>
    </row>
    <row r="546" spans="1:10" x14ac:dyDescent="0.25">
      <c r="A546" t="s">
        <v>123</v>
      </c>
      <c r="B546" s="1">
        <f t="shared" si="32"/>
        <v>45035</v>
      </c>
      <c r="C546" s="1" t="str">
        <f t="shared" si="33"/>
        <v>Wednesday</v>
      </c>
      <c r="D546" s="1" t="str">
        <f t="shared" si="34"/>
        <v>April</v>
      </c>
      <c r="E546" s="1" t="str">
        <f t="shared" si="35"/>
        <v>2023</v>
      </c>
      <c r="F546" t="s">
        <v>16</v>
      </c>
      <c r="G546" s="5">
        <v>736.65223973310003</v>
      </c>
      <c r="H546" s="10">
        <v>14</v>
      </c>
      <c r="I546" s="2">
        <v>128.80563272683199</v>
      </c>
      <c r="J546" t="s">
        <v>14</v>
      </c>
    </row>
    <row r="547" spans="1:10" x14ac:dyDescent="0.25">
      <c r="A547" t="s">
        <v>124</v>
      </c>
      <c r="B547" s="1">
        <f t="shared" si="32"/>
        <v>45036</v>
      </c>
      <c r="C547" s="1" t="str">
        <f t="shared" si="33"/>
        <v>Thursday</v>
      </c>
      <c r="D547" s="1" t="str">
        <f t="shared" si="34"/>
        <v>April</v>
      </c>
      <c r="E547" s="1" t="str">
        <f t="shared" si="35"/>
        <v>2023</v>
      </c>
      <c r="F547" t="s">
        <v>7</v>
      </c>
      <c r="G547" s="5">
        <v>751.93589380000003</v>
      </c>
      <c r="H547" s="10">
        <v>16</v>
      </c>
      <c r="I547" s="2">
        <v>246.49923273650501</v>
      </c>
      <c r="J547" t="s">
        <v>12</v>
      </c>
    </row>
    <row r="548" spans="1:10" x14ac:dyDescent="0.25">
      <c r="A548" t="s">
        <v>124</v>
      </c>
      <c r="B548" s="1">
        <f t="shared" si="32"/>
        <v>45036</v>
      </c>
      <c r="C548" s="1" t="str">
        <f t="shared" si="33"/>
        <v>Thursday</v>
      </c>
      <c r="D548" s="1" t="str">
        <f t="shared" si="34"/>
        <v>April</v>
      </c>
      <c r="E548" s="1" t="str">
        <f t="shared" si="35"/>
        <v>2023</v>
      </c>
      <c r="F548" t="s">
        <v>9</v>
      </c>
      <c r="G548" s="5">
        <v>855.93928775589404</v>
      </c>
      <c r="H548" s="10">
        <v>9</v>
      </c>
      <c r="I548" s="2">
        <v>210.79333084851501</v>
      </c>
      <c r="J548" t="s">
        <v>14</v>
      </c>
    </row>
    <row r="549" spans="1:10" x14ac:dyDescent="0.25">
      <c r="A549" t="s">
        <v>124</v>
      </c>
      <c r="B549" s="1">
        <f t="shared" si="32"/>
        <v>45036</v>
      </c>
      <c r="C549" s="1" t="str">
        <f t="shared" si="33"/>
        <v>Thursday</v>
      </c>
      <c r="D549" s="1" t="str">
        <f t="shared" si="34"/>
        <v>April</v>
      </c>
      <c r="E549" s="1" t="str">
        <f t="shared" si="35"/>
        <v>2023</v>
      </c>
      <c r="F549" t="s">
        <v>11</v>
      </c>
      <c r="G549" s="5">
        <v>781.46151349589695</v>
      </c>
      <c r="H549" s="10">
        <v>11</v>
      </c>
      <c r="I549" s="2">
        <v>144.24512485193301</v>
      </c>
      <c r="J549" t="s">
        <v>12</v>
      </c>
    </row>
    <row r="550" spans="1:10" x14ac:dyDescent="0.25">
      <c r="A550" t="s">
        <v>124</v>
      </c>
      <c r="B550" s="1">
        <f t="shared" si="32"/>
        <v>45036</v>
      </c>
      <c r="C550" s="1" t="str">
        <f t="shared" si="33"/>
        <v>Thursday</v>
      </c>
      <c r="D550" s="1" t="str">
        <f t="shared" si="34"/>
        <v>April</v>
      </c>
      <c r="E550" s="1" t="str">
        <f t="shared" si="35"/>
        <v>2023</v>
      </c>
      <c r="F550" t="s">
        <v>13</v>
      </c>
      <c r="G550" s="5">
        <v>415.63488295799999</v>
      </c>
      <c r="H550" s="10">
        <v>18</v>
      </c>
      <c r="I550" s="2">
        <v>92.822994877375606</v>
      </c>
      <c r="J550" t="s">
        <v>10</v>
      </c>
    </row>
    <row r="551" spans="1:10" x14ac:dyDescent="0.25">
      <c r="A551" t="s">
        <v>124</v>
      </c>
      <c r="B551" s="1">
        <f t="shared" si="32"/>
        <v>45036</v>
      </c>
      <c r="C551" s="1" t="str">
        <f t="shared" si="33"/>
        <v>Thursday</v>
      </c>
      <c r="D551" s="1" t="str">
        <f t="shared" si="34"/>
        <v>April</v>
      </c>
      <c r="E551" s="1" t="str">
        <f t="shared" si="35"/>
        <v>2023</v>
      </c>
      <c r="F551" t="s">
        <v>16</v>
      </c>
      <c r="G551" s="5">
        <v>1235.1156345443601</v>
      </c>
      <c r="H551" s="10">
        <v>6</v>
      </c>
      <c r="I551" s="2">
        <v>456.93103357725198</v>
      </c>
      <c r="J551" t="s">
        <v>12</v>
      </c>
    </row>
    <row r="552" spans="1:10" x14ac:dyDescent="0.25">
      <c r="A552" t="s">
        <v>125</v>
      </c>
      <c r="B552" s="1">
        <f t="shared" si="32"/>
        <v>45037</v>
      </c>
      <c r="C552" s="1" t="str">
        <f t="shared" si="33"/>
        <v>Friday</v>
      </c>
      <c r="D552" s="1" t="str">
        <f t="shared" si="34"/>
        <v>April</v>
      </c>
      <c r="E552" s="1" t="str">
        <f t="shared" si="35"/>
        <v>2023</v>
      </c>
      <c r="F552" t="s">
        <v>7</v>
      </c>
      <c r="G552" s="5">
        <v>836.92212288292001</v>
      </c>
      <c r="H552" s="10">
        <v>15</v>
      </c>
      <c r="I552" s="2">
        <v>403.06894183964602</v>
      </c>
      <c r="J552" t="s">
        <v>8</v>
      </c>
    </row>
    <row r="553" spans="1:10" x14ac:dyDescent="0.25">
      <c r="A553" t="s">
        <v>125</v>
      </c>
      <c r="B553" s="1">
        <f t="shared" si="32"/>
        <v>45037</v>
      </c>
      <c r="C553" s="1" t="str">
        <f t="shared" si="33"/>
        <v>Friday</v>
      </c>
      <c r="D553" s="1" t="str">
        <f t="shared" si="34"/>
        <v>April</v>
      </c>
      <c r="E553" s="1" t="str">
        <f t="shared" si="35"/>
        <v>2023</v>
      </c>
      <c r="F553" t="s">
        <v>9</v>
      </c>
      <c r="G553" s="5">
        <v>156.96836987879999</v>
      </c>
      <c r="H553" s="10">
        <v>10</v>
      </c>
      <c r="I553" s="2">
        <v>524.96815783187003</v>
      </c>
      <c r="J553" t="s">
        <v>14</v>
      </c>
    </row>
    <row r="554" spans="1:10" x14ac:dyDescent="0.25">
      <c r="A554" t="s">
        <v>125</v>
      </c>
      <c r="B554" s="1">
        <f t="shared" si="32"/>
        <v>45037</v>
      </c>
      <c r="C554" s="1" t="str">
        <f t="shared" si="33"/>
        <v>Friday</v>
      </c>
      <c r="D554" s="1" t="str">
        <f t="shared" si="34"/>
        <v>April</v>
      </c>
      <c r="E554" s="1" t="str">
        <f t="shared" si="35"/>
        <v>2023</v>
      </c>
      <c r="F554" t="s">
        <v>11</v>
      </c>
      <c r="G554" s="5">
        <v>1265.3823695880001</v>
      </c>
      <c r="H554" s="10">
        <v>18</v>
      </c>
      <c r="I554" s="2">
        <v>181.56906330000001</v>
      </c>
      <c r="J554" t="s">
        <v>10</v>
      </c>
    </row>
    <row r="555" spans="1:10" x14ac:dyDescent="0.25">
      <c r="A555" t="s">
        <v>125</v>
      </c>
      <c r="B555" s="1">
        <f t="shared" si="32"/>
        <v>45037</v>
      </c>
      <c r="C555" s="1" t="str">
        <f t="shared" si="33"/>
        <v>Friday</v>
      </c>
      <c r="D555" s="1" t="str">
        <f t="shared" si="34"/>
        <v>April</v>
      </c>
      <c r="E555" s="1" t="str">
        <f t="shared" si="35"/>
        <v>2023</v>
      </c>
      <c r="F555" t="s">
        <v>13</v>
      </c>
      <c r="G555" s="5">
        <v>724.245958383784</v>
      </c>
      <c r="H555" s="10">
        <v>5</v>
      </c>
      <c r="I555" s="2">
        <v>195.25604144604699</v>
      </c>
      <c r="J555" t="s">
        <v>10</v>
      </c>
    </row>
    <row r="556" spans="1:10" x14ac:dyDescent="0.25">
      <c r="A556" t="s">
        <v>125</v>
      </c>
      <c r="B556" s="1">
        <f t="shared" si="32"/>
        <v>45037</v>
      </c>
      <c r="C556" s="1" t="str">
        <f t="shared" si="33"/>
        <v>Friday</v>
      </c>
      <c r="D556" s="1" t="str">
        <f t="shared" si="34"/>
        <v>April</v>
      </c>
      <c r="E556" s="1" t="str">
        <f t="shared" si="35"/>
        <v>2023</v>
      </c>
      <c r="F556" t="s">
        <v>16</v>
      </c>
      <c r="G556" s="5">
        <v>192.11935497170001</v>
      </c>
      <c r="H556" s="10">
        <v>12</v>
      </c>
      <c r="I556" s="2">
        <v>223.722737589628</v>
      </c>
      <c r="J556" t="s">
        <v>8</v>
      </c>
    </row>
    <row r="557" spans="1:10" x14ac:dyDescent="0.25">
      <c r="A557" t="s">
        <v>126</v>
      </c>
      <c r="B557" s="1">
        <f t="shared" si="32"/>
        <v>45038</v>
      </c>
      <c r="C557" s="1" t="str">
        <f t="shared" si="33"/>
        <v>Saturday</v>
      </c>
      <c r="D557" s="1" t="str">
        <f t="shared" si="34"/>
        <v>April</v>
      </c>
      <c r="E557" s="1" t="str">
        <f t="shared" si="35"/>
        <v>2023</v>
      </c>
      <c r="F557" t="s">
        <v>7</v>
      </c>
      <c r="G557" s="5">
        <v>836.92212288292001</v>
      </c>
      <c r="H557" s="10">
        <v>1</v>
      </c>
      <c r="I557" s="2">
        <v>139.64327688579499</v>
      </c>
      <c r="J557" t="s">
        <v>14</v>
      </c>
    </row>
    <row r="558" spans="1:10" x14ac:dyDescent="0.25">
      <c r="A558" t="s">
        <v>126</v>
      </c>
      <c r="B558" s="1">
        <f t="shared" si="32"/>
        <v>45038</v>
      </c>
      <c r="C558" s="1" t="str">
        <f t="shared" si="33"/>
        <v>Saturday</v>
      </c>
      <c r="D558" s="1" t="str">
        <f t="shared" si="34"/>
        <v>April</v>
      </c>
      <c r="E558" s="1" t="str">
        <f t="shared" si="35"/>
        <v>2023</v>
      </c>
      <c r="F558" t="s">
        <v>9</v>
      </c>
      <c r="G558" s="5">
        <v>753.64581595575999</v>
      </c>
      <c r="H558" s="10">
        <v>1</v>
      </c>
      <c r="I558" s="2">
        <v>193.55060546507599</v>
      </c>
      <c r="J558" t="s">
        <v>8</v>
      </c>
    </row>
    <row r="559" spans="1:10" x14ac:dyDescent="0.25">
      <c r="A559" t="s">
        <v>126</v>
      </c>
      <c r="B559" s="1">
        <f t="shared" si="32"/>
        <v>45038</v>
      </c>
      <c r="C559" s="1" t="str">
        <f t="shared" si="33"/>
        <v>Saturday</v>
      </c>
      <c r="D559" s="1" t="str">
        <f t="shared" si="34"/>
        <v>April</v>
      </c>
      <c r="E559" s="1" t="str">
        <f t="shared" si="35"/>
        <v>2023</v>
      </c>
      <c r="F559" t="s">
        <v>11</v>
      </c>
      <c r="G559" s="5">
        <v>95.746176513847999</v>
      </c>
      <c r="H559" s="10">
        <v>2</v>
      </c>
      <c r="I559" s="2">
        <v>210.298744045479</v>
      </c>
      <c r="J559" t="s">
        <v>10</v>
      </c>
    </row>
    <row r="560" spans="1:10" x14ac:dyDescent="0.25">
      <c r="A560" t="s">
        <v>126</v>
      </c>
      <c r="B560" s="1">
        <f t="shared" si="32"/>
        <v>45038</v>
      </c>
      <c r="C560" s="1" t="str">
        <f t="shared" si="33"/>
        <v>Saturday</v>
      </c>
      <c r="D560" s="1" t="str">
        <f t="shared" si="34"/>
        <v>April</v>
      </c>
      <c r="E560" s="1" t="str">
        <f t="shared" si="35"/>
        <v>2023</v>
      </c>
      <c r="F560" t="s">
        <v>13</v>
      </c>
      <c r="G560" s="5">
        <v>152.93246658315999</v>
      </c>
      <c r="H560" s="10">
        <v>17</v>
      </c>
      <c r="I560" s="2">
        <v>298.89599010199402</v>
      </c>
      <c r="J560" t="s">
        <v>12</v>
      </c>
    </row>
    <row r="561" spans="1:10" x14ac:dyDescent="0.25">
      <c r="A561" t="s">
        <v>126</v>
      </c>
      <c r="B561" s="1">
        <f t="shared" si="32"/>
        <v>45038</v>
      </c>
      <c r="C561" s="1" t="str">
        <f t="shared" si="33"/>
        <v>Saturday</v>
      </c>
      <c r="D561" s="1" t="str">
        <f t="shared" si="34"/>
        <v>April</v>
      </c>
      <c r="E561" s="1" t="str">
        <f t="shared" si="35"/>
        <v>2023</v>
      </c>
      <c r="F561" t="s">
        <v>16</v>
      </c>
      <c r="G561" s="5">
        <v>849.22161818129996</v>
      </c>
      <c r="H561" s="10">
        <v>6</v>
      </c>
      <c r="I561" s="2">
        <v>315.088935695609</v>
      </c>
      <c r="J561" t="s">
        <v>12</v>
      </c>
    </row>
    <row r="562" spans="1:10" x14ac:dyDescent="0.25">
      <c r="A562" t="s">
        <v>127</v>
      </c>
      <c r="B562" s="1">
        <f t="shared" si="32"/>
        <v>45039</v>
      </c>
      <c r="C562" s="1" t="str">
        <f t="shared" si="33"/>
        <v>Sunday</v>
      </c>
      <c r="D562" s="1" t="str">
        <f t="shared" si="34"/>
        <v>April</v>
      </c>
      <c r="E562" s="1" t="str">
        <f t="shared" si="35"/>
        <v>2023</v>
      </c>
      <c r="F562" t="s">
        <v>7</v>
      </c>
      <c r="G562" s="5">
        <v>113.9679412473</v>
      </c>
      <c r="H562" s="10">
        <v>2</v>
      </c>
      <c r="I562" s="2">
        <v>405.56066187876098</v>
      </c>
      <c r="J562" t="s">
        <v>10</v>
      </c>
    </row>
    <row r="563" spans="1:10" x14ac:dyDescent="0.25">
      <c r="A563" t="s">
        <v>127</v>
      </c>
      <c r="B563" s="1">
        <f t="shared" si="32"/>
        <v>45039</v>
      </c>
      <c r="C563" s="1" t="str">
        <f t="shared" si="33"/>
        <v>Sunday</v>
      </c>
      <c r="D563" s="1" t="str">
        <f t="shared" si="34"/>
        <v>April</v>
      </c>
      <c r="E563" s="1" t="str">
        <f t="shared" si="35"/>
        <v>2023</v>
      </c>
      <c r="F563" t="s">
        <v>9</v>
      </c>
      <c r="G563" s="5">
        <v>1271.1845232584999</v>
      </c>
      <c r="H563" s="10">
        <v>7</v>
      </c>
      <c r="I563" s="2">
        <v>335.12074437226801</v>
      </c>
      <c r="J563" t="s">
        <v>14</v>
      </c>
    </row>
    <row r="564" spans="1:10" x14ac:dyDescent="0.25">
      <c r="A564" t="s">
        <v>127</v>
      </c>
      <c r="B564" s="1">
        <f t="shared" si="32"/>
        <v>45039</v>
      </c>
      <c r="C564" s="1" t="str">
        <f t="shared" si="33"/>
        <v>Sunday</v>
      </c>
      <c r="D564" s="1" t="str">
        <f t="shared" si="34"/>
        <v>April</v>
      </c>
      <c r="E564" s="1" t="str">
        <f t="shared" si="35"/>
        <v>2023</v>
      </c>
      <c r="F564" t="s">
        <v>11</v>
      </c>
      <c r="G564" s="5">
        <v>99.325972235430001</v>
      </c>
      <c r="H564" s="10">
        <v>10</v>
      </c>
      <c r="I564" s="2">
        <v>357.74535703817799</v>
      </c>
      <c r="J564" t="s">
        <v>10</v>
      </c>
    </row>
    <row r="565" spans="1:10" x14ac:dyDescent="0.25">
      <c r="A565" t="s">
        <v>127</v>
      </c>
      <c r="B565" s="1">
        <f t="shared" si="32"/>
        <v>45039</v>
      </c>
      <c r="C565" s="1" t="str">
        <f t="shared" si="33"/>
        <v>Sunday</v>
      </c>
      <c r="D565" s="1" t="str">
        <f t="shared" si="34"/>
        <v>April</v>
      </c>
      <c r="E565" s="1" t="str">
        <f t="shared" si="35"/>
        <v>2023</v>
      </c>
      <c r="F565" t="s">
        <v>13</v>
      </c>
      <c r="G565" s="5">
        <v>167.53331898740001</v>
      </c>
      <c r="H565" s="10">
        <v>17</v>
      </c>
      <c r="I565" s="2">
        <v>171.16510158545199</v>
      </c>
      <c r="J565" t="s">
        <v>10</v>
      </c>
    </row>
    <row r="566" spans="1:10" x14ac:dyDescent="0.25">
      <c r="A566" t="s">
        <v>127</v>
      </c>
      <c r="B566" s="1">
        <f t="shared" si="32"/>
        <v>45039</v>
      </c>
      <c r="C566" s="1" t="str">
        <f t="shared" si="33"/>
        <v>Sunday</v>
      </c>
      <c r="D566" s="1" t="str">
        <f t="shared" si="34"/>
        <v>April</v>
      </c>
      <c r="E566" s="1" t="str">
        <f t="shared" si="35"/>
        <v>2023</v>
      </c>
      <c r="F566" t="s">
        <v>16</v>
      </c>
      <c r="G566" s="5">
        <v>138.53552127931999</v>
      </c>
      <c r="H566" s="10">
        <v>4</v>
      </c>
      <c r="I566" s="2">
        <v>339.62754795971102</v>
      </c>
      <c r="J566" t="s">
        <v>12</v>
      </c>
    </row>
    <row r="567" spans="1:10" x14ac:dyDescent="0.25">
      <c r="A567" t="s">
        <v>128</v>
      </c>
      <c r="B567" s="1">
        <f t="shared" si="32"/>
        <v>45040</v>
      </c>
      <c r="C567" s="1" t="str">
        <f t="shared" si="33"/>
        <v>Monday</v>
      </c>
      <c r="D567" s="1" t="str">
        <f t="shared" si="34"/>
        <v>April</v>
      </c>
      <c r="E567" s="1" t="str">
        <f t="shared" si="35"/>
        <v>2023</v>
      </c>
      <c r="F567" t="s">
        <v>7</v>
      </c>
      <c r="G567" s="5">
        <v>1319.75829962849</v>
      </c>
      <c r="H567" s="10">
        <v>15</v>
      </c>
      <c r="I567" s="2">
        <v>213.09395856250799</v>
      </c>
      <c r="J567" t="s">
        <v>8</v>
      </c>
    </row>
    <row r="568" spans="1:10" x14ac:dyDescent="0.25">
      <c r="A568" t="s">
        <v>128</v>
      </c>
      <c r="B568" s="1">
        <f t="shared" si="32"/>
        <v>45040</v>
      </c>
      <c r="C568" s="1" t="str">
        <f t="shared" si="33"/>
        <v>Monday</v>
      </c>
      <c r="D568" s="1" t="str">
        <f t="shared" si="34"/>
        <v>April</v>
      </c>
      <c r="E568" s="1" t="str">
        <f t="shared" si="35"/>
        <v>2023</v>
      </c>
      <c r="F568" t="s">
        <v>9</v>
      </c>
      <c r="G568" s="5">
        <v>77.78913364636</v>
      </c>
      <c r="H568" s="10">
        <v>14</v>
      </c>
      <c r="I568" s="2">
        <v>121.48412233632099</v>
      </c>
      <c r="J568" t="s">
        <v>8</v>
      </c>
    </row>
    <row r="569" spans="1:10" x14ac:dyDescent="0.25">
      <c r="A569" t="s">
        <v>128</v>
      </c>
      <c r="B569" s="1">
        <f t="shared" si="32"/>
        <v>45040</v>
      </c>
      <c r="C569" s="1" t="str">
        <f t="shared" si="33"/>
        <v>Monday</v>
      </c>
      <c r="D569" s="1" t="str">
        <f t="shared" si="34"/>
        <v>April</v>
      </c>
      <c r="E569" s="1" t="str">
        <f t="shared" si="35"/>
        <v>2023</v>
      </c>
      <c r="F569" t="s">
        <v>11</v>
      </c>
      <c r="G569" s="5">
        <v>1137.8491918212001</v>
      </c>
      <c r="H569" s="10">
        <v>8</v>
      </c>
      <c r="I569" s="2">
        <v>450.01582443976298</v>
      </c>
      <c r="J569" t="s">
        <v>12</v>
      </c>
    </row>
    <row r="570" spans="1:10" x14ac:dyDescent="0.25">
      <c r="A570" t="s">
        <v>128</v>
      </c>
      <c r="B570" s="1">
        <f t="shared" si="32"/>
        <v>45040</v>
      </c>
      <c r="C570" s="1" t="str">
        <f t="shared" si="33"/>
        <v>Monday</v>
      </c>
      <c r="D570" s="1" t="str">
        <f t="shared" si="34"/>
        <v>April</v>
      </c>
      <c r="E570" s="1" t="str">
        <f t="shared" si="35"/>
        <v>2023</v>
      </c>
      <c r="F570" t="s">
        <v>13</v>
      </c>
      <c r="G570" s="5">
        <v>1548.5788391949</v>
      </c>
      <c r="H570" s="10">
        <v>3</v>
      </c>
      <c r="I570" s="2">
        <v>577.25735366814604</v>
      </c>
      <c r="J570" t="s">
        <v>8</v>
      </c>
    </row>
    <row r="571" spans="1:10" x14ac:dyDescent="0.25">
      <c r="A571" t="s">
        <v>128</v>
      </c>
      <c r="B571" s="1">
        <f t="shared" si="32"/>
        <v>45040</v>
      </c>
      <c r="C571" s="1" t="str">
        <f t="shared" si="33"/>
        <v>Monday</v>
      </c>
      <c r="D571" s="1" t="str">
        <f t="shared" si="34"/>
        <v>April</v>
      </c>
      <c r="E571" s="1" t="str">
        <f t="shared" si="35"/>
        <v>2023</v>
      </c>
      <c r="F571" t="s">
        <v>16</v>
      </c>
      <c r="G571" s="5">
        <v>165.68983333595</v>
      </c>
      <c r="H571" s="10">
        <v>10</v>
      </c>
      <c r="I571" s="2">
        <v>400.36872825103598</v>
      </c>
      <c r="J571" t="s">
        <v>12</v>
      </c>
    </row>
    <row r="572" spans="1:10" x14ac:dyDescent="0.25">
      <c r="A572" t="s">
        <v>129</v>
      </c>
      <c r="B572" s="1">
        <f t="shared" si="32"/>
        <v>45041</v>
      </c>
      <c r="C572" s="1" t="str">
        <f t="shared" si="33"/>
        <v>Tuesday</v>
      </c>
      <c r="D572" s="1" t="str">
        <f t="shared" si="34"/>
        <v>April</v>
      </c>
      <c r="E572" s="1" t="str">
        <f t="shared" si="35"/>
        <v>2023</v>
      </c>
      <c r="F572" t="s">
        <v>7</v>
      </c>
      <c r="G572" s="5">
        <v>758.99861181918004</v>
      </c>
      <c r="H572" s="10">
        <v>18</v>
      </c>
      <c r="I572" s="2">
        <v>97.167825245427693</v>
      </c>
      <c r="J572" t="s">
        <v>8</v>
      </c>
    </row>
    <row r="573" spans="1:10" x14ac:dyDescent="0.25">
      <c r="A573" t="s">
        <v>129</v>
      </c>
      <c r="B573" s="1">
        <f t="shared" si="32"/>
        <v>45041</v>
      </c>
      <c r="C573" s="1" t="str">
        <f t="shared" si="33"/>
        <v>Tuesday</v>
      </c>
      <c r="D573" s="1" t="str">
        <f t="shared" si="34"/>
        <v>April</v>
      </c>
      <c r="E573" s="1" t="str">
        <f t="shared" si="35"/>
        <v>2023</v>
      </c>
      <c r="F573" t="s">
        <v>9</v>
      </c>
      <c r="G573" s="5">
        <v>361.6937325115</v>
      </c>
      <c r="H573" s="10">
        <v>19</v>
      </c>
      <c r="I573" s="2">
        <v>57.285585104769297</v>
      </c>
      <c r="J573" t="s">
        <v>14</v>
      </c>
    </row>
    <row r="574" spans="1:10" x14ac:dyDescent="0.25">
      <c r="A574" t="s">
        <v>129</v>
      </c>
      <c r="B574" s="1">
        <f t="shared" si="32"/>
        <v>45041</v>
      </c>
      <c r="C574" s="1" t="str">
        <f t="shared" si="33"/>
        <v>Tuesday</v>
      </c>
      <c r="D574" s="1" t="str">
        <f t="shared" si="34"/>
        <v>April</v>
      </c>
      <c r="E574" s="1" t="str">
        <f t="shared" si="35"/>
        <v>2023</v>
      </c>
      <c r="F574" t="s">
        <v>11</v>
      </c>
      <c r="G574" s="5">
        <v>45.769465481540003</v>
      </c>
      <c r="H574" s="10">
        <v>9</v>
      </c>
      <c r="I574" s="2">
        <v>123.185382389333</v>
      </c>
      <c r="J574" t="s">
        <v>8</v>
      </c>
    </row>
    <row r="575" spans="1:10" x14ac:dyDescent="0.25">
      <c r="A575" t="s">
        <v>129</v>
      </c>
      <c r="B575" s="1">
        <f t="shared" si="32"/>
        <v>45041</v>
      </c>
      <c r="C575" s="1" t="str">
        <f t="shared" si="33"/>
        <v>Tuesday</v>
      </c>
      <c r="D575" s="1" t="str">
        <f t="shared" si="34"/>
        <v>April</v>
      </c>
      <c r="E575" s="1" t="str">
        <f t="shared" si="35"/>
        <v>2023</v>
      </c>
      <c r="F575" t="s">
        <v>13</v>
      </c>
      <c r="G575" s="5">
        <v>16.195541186700002</v>
      </c>
      <c r="H575" s="10">
        <v>8</v>
      </c>
      <c r="I575" s="2">
        <v>359.80306440102299</v>
      </c>
      <c r="J575" t="s">
        <v>10</v>
      </c>
    </row>
    <row r="576" spans="1:10" x14ac:dyDescent="0.25">
      <c r="A576" t="s">
        <v>129</v>
      </c>
      <c r="B576" s="1">
        <f t="shared" si="32"/>
        <v>45041</v>
      </c>
      <c r="C576" s="1" t="str">
        <f t="shared" si="33"/>
        <v>Tuesday</v>
      </c>
      <c r="D576" s="1" t="str">
        <f t="shared" si="34"/>
        <v>April</v>
      </c>
      <c r="E576" s="1" t="str">
        <f t="shared" si="35"/>
        <v>2023</v>
      </c>
      <c r="F576" t="s">
        <v>16</v>
      </c>
      <c r="G576" s="5">
        <v>172.1278218134</v>
      </c>
      <c r="H576" s="10">
        <v>6</v>
      </c>
      <c r="I576" s="2">
        <v>58.173106788110502</v>
      </c>
      <c r="J576" t="s">
        <v>10</v>
      </c>
    </row>
    <row r="577" spans="1:10" x14ac:dyDescent="0.25">
      <c r="A577" t="s">
        <v>130</v>
      </c>
      <c r="B577" s="1">
        <f t="shared" si="32"/>
        <v>45042</v>
      </c>
      <c r="C577" s="1" t="str">
        <f t="shared" si="33"/>
        <v>Wednesday</v>
      </c>
      <c r="D577" s="1" t="str">
        <f t="shared" si="34"/>
        <v>April</v>
      </c>
      <c r="E577" s="1" t="str">
        <f t="shared" si="35"/>
        <v>2023</v>
      </c>
      <c r="F577" t="s">
        <v>7</v>
      </c>
      <c r="G577" s="5">
        <v>1319.1245487127001</v>
      </c>
      <c r="H577" s="10">
        <v>16</v>
      </c>
      <c r="I577" s="2">
        <v>471.09028029872701</v>
      </c>
      <c r="J577" t="s">
        <v>10</v>
      </c>
    </row>
    <row r="578" spans="1:10" x14ac:dyDescent="0.25">
      <c r="A578" t="s">
        <v>130</v>
      </c>
      <c r="B578" s="1">
        <f t="shared" si="32"/>
        <v>45042</v>
      </c>
      <c r="C578" s="1" t="str">
        <f t="shared" si="33"/>
        <v>Wednesday</v>
      </c>
      <c r="D578" s="1" t="str">
        <f t="shared" si="34"/>
        <v>April</v>
      </c>
      <c r="E578" s="1" t="str">
        <f t="shared" si="35"/>
        <v>2023</v>
      </c>
      <c r="F578" t="s">
        <v>9</v>
      </c>
      <c r="G578" s="5">
        <v>1763.13685945</v>
      </c>
      <c r="H578" s="10">
        <v>8</v>
      </c>
      <c r="I578" s="2">
        <v>649.16811302833105</v>
      </c>
      <c r="J578" t="s">
        <v>14</v>
      </c>
    </row>
    <row r="579" spans="1:10" x14ac:dyDescent="0.25">
      <c r="A579" t="s">
        <v>130</v>
      </c>
      <c r="B579" s="1">
        <f t="shared" ref="B579:B642" si="36">DATE(VALUE(RIGHT(A579,4)),VALUE(LEFT(A579,FIND("/",A579)-1)),VALUE(MID(A579,FIND("/",A579)+1,FIND("/",A579,FIND("/",A579)+1)-FIND("/",A579)-1)))</f>
        <v>45042</v>
      </c>
      <c r="C579" s="1" t="str">
        <f t="shared" ref="C579:C642" si="37">TEXT(B579,"DDDD")</f>
        <v>Wednesday</v>
      </c>
      <c r="D579" s="1" t="str">
        <f t="shared" ref="D579:D642" si="38">TEXT(B579,"MMMM")</f>
        <v>April</v>
      </c>
      <c r="E579" s="1" t="str">
        <f t="shared" ref="E579:E642" si="39">TEXT(B579,"YYYY")</f>
        <v>2023</v>
      </c>
      <c r="F579" t="s">
        <v>11</v>
      </c>
      <c r="G579" s="5">
        <v>154.84272761599999</v>
      </c>
      <c r="H579" s="10">
        <v>16</v>
      </c>
      <c r="I579" s="2">
        <v>153.61800649318999</v>
      </c>
      <c r="J579" t="s">
        <v>14</v>
      </c>
    </row>
    <row r="580" spans="1:10" x14ac:dyDescent="0.25">
      <c r="A580" t="s">
        <v>130</v>
      </c>
      <c r="B580" s="1">
        <f t="shared" si="36"/>
        <v>45042</v>
      </c>
      <c r="C580" s="1" t="str">
        <f t="shared" si="37"/>
        <v>Wednesday</v>
      </c>
      <c r="D580" s="1" t="str">
        <f t="shared" si="38"/>
        <v>April</v>
      </c>
      <c r="E580" s="1" t="str">
        <f t="shared" si="39"/>
        <v>2023</v>
      </c>
      <c r="F580" t="s">
        <v>13</v>
      </c>
      <c r="G580" s="5">
        <v>742.19791489260001</v>
      </c>
      <c r="H580" s="10">
        <v>1</v>
      </c>
      <c r="I580" s="2">
        <v>167.23818981116099</v>
      </c>
      <c r="J580" t="s">
        <v>10</v>
      </c>
    </row>
    <row r="581" spans="1:10" x14ac:dyDescent="0.25">
      <c r="A581" t="s">
        <v>130</v>
      </c>
      <c r="B581" s="1">
        <f t="shared" si="36"/>
        <v>45042</v>
      </c>
      <c r="C581" s="1" t="str">
        <f t="shared" si="37"/>
        <v>Wednesday</v>
      </c>
      <c r="D581" s="1" t="str">
        <f t="shared" si="38"/>
        <v>April</v>
      </c>
      <c r="E581" s="1" t="str">
        <f t="shared" si="39"/>
        <v>2023</v>
      </c>
      <c r="F581" t="s">
        <v>16</v>
      </c>
      <c r="G581" s="5">
        <v>1342.7155431922299</v>
      </c>
      <c r="H581" s="10">
        <v>13</v>
      </c>
      <c r="I581" s="2">
        <v>264.38520132871997</v>
      </c>
      <c r="J581" t="s">
        <v>14</v>
      </c>
    </row>
    <row r="582" spans="1:10" x14ac:dyDescent="0.25">
      <c r="A582" t="s">
        <v>131</v>
      </c>
      <c r="B582" s="1">
        <f t="shared" si="36"/>
        <v>45043</v>
      </c>
      <c r="C582" s="1" t="str">
        <f t="shared" si="37"/>
        <v>Thursday</v>
      </c>
      <c r="D582" s="1" t="str">
        <f t="shared" si="38"/>
        <v>April</v>
      </c>
      <c r="E582" s="1" t="str">
        <f t="shared" si="39"/>
        <v>2023</v>
      </c>
      <c r="F582" t="s">
        <v>7</v>
      </c>
      <c r="G582" s="5">
        <v>943.85672498634995</v>
      </c>
      <c r="H582" s="10">
        <v>5</v>
      </c>
      <c r="I582" s="2">
        <v>252.88442120168199</v>
      </c>
      <c r="J582" t="s">
        <v>8</v>
      </c>
    </row>
    <row r="583" spans="1:10" x14ac:dyDescent="0.25">
      <c r="A583" t="s">
        <v>131</v>
      </c>
      <c r="B583" s="1">
        <f t="shared" si="36"/>
        <v>45043</v>
      </c>
      <c r="C583" s="1" t="str">
        <f t="shared" si="37"/>
        <v>Thursday</v>
      </c>
      <c r="D583" s="1" t="str">
        <f t="shared" si="38"/>
        <v>April</v>
      </c>
      <c r="E583" s="1" t="str">
        <f t="shared" si="39"/>
        <v>2023</v>
      </c>
      <c r="F583" t="s">
        <v>9</v>
      </c>
      <c r="G583" s="5">
        <v>1295.7189987395</v>
      </c>
      <c r="H583" s="10">
        <v>4</v>
      </c>
      <c r="I583" s="2">
        <v>409.19594645746503</v>
      </c>
      <c r="J583" t="s">
        <v>12</v>
      </c>
    </row>
    <row r="584" spans="1:10" x14ac:dyDescent="0.25">
      <c r="A584" t="s">
        <v>131</v>
      </c>
      <c r="B584" s="1">
        <f t="shared" si="36"/>
        <v>45043</v>
      </c>
      <c r="C584" s="1" t="str">
        <f t="shared" si="37"/>
        <v>Thursday</v>
      </c>
      <c r="D584" s="1" t="str">
        <f t="shared" si="38"/>
        <v>April</v>
      </c>
      <c r="E584" s="1" t="str">
        <f t="shared" si="39"/>
        <v>2023</v>
      </c>
      <c r="F584" t="s">
        <v>11</v>
      </c>
      <c r="G584" s="5">
        <v>842.81280000000004</v>
      </c>
      <c r="H584" s="10">
        <v>3</v>
      </c>
      <c r="I584" s="2">
        <v>131.665396537757</v>
      </c>
      <c r="J584" t="s">
        <v>8</v>
      </c>
    </row>
    <row r="585" spans="1:10" x14ac:dyDescent="0.25">
      <c r="A585" t="s">
        <v>131</v>
      </c>
      <c r="B585" s="1">
        <f t="shared" si="36"/>
        <v>45043</v>
      </c>
      <c r="C585" s="1" t="str">
        <f t="shared" si="37"/>
        <v>Thursday</v>
      </c>
      <c r="D585" s="1" t="str">
        <f t="shared" si="38"/>
        <v>April</v>
      </c>
      <c r="E585" s="1" t="str">
        <f t="shared" si="39"/>
        <v>2023</v>
      </c>
      <c r="F585" t="s">
        <v>13</v>
      </c>
      <c r="G585" s="5">
        <v>622.83661754273805</v>
      </c>
      <c r="H585" s="10">
        <v>9</v>
      </c>
      <c r="I585" s="2">
        <v>215.32648631215301</v>
      </c>
      <c r="J585" t="s">
        <v>12</v>
      </c>
    </row>
    <row r="586" spans="1:10" x14ac:dyDescent="0.25">
      <c r="A586" t="s">
        <v>131</v>
      </c>
      <c r="B586" s="1">
        <f t="shared" si="36"/>
        <v>45043</v>
      </c>
      <c r="C586" s="1" t="str">
        <f t="shared" si="37"/>
        <v>Thursday</v>
      </c>
      <c r="D586" s="1" t="str">
        <f t="shared" si="38"/>
        <v>April</v>
      </c>
      <c r="E586" s="1" t="str">
        <f t="shared" si="39"/>
        <v>2023</v>
      </c>
      <c r="F586" t="s">
        <v>16</v>
      </c>
      <c r="G586" s="5">
        <v>185.79548221672999</v>
      </c>
      <c r="H586" s="10">
        <v>11</v>
      </c>
      <c r="I586" s="2">
        <v>402.16648921339799</v>
      </c>
      <c r="J586" t="s">
        <v>14</v>
      </c>
    </row>
    <row r="587" spans="1:10" x14ac:dyDescent="0.25">
      <c r="A587" t="s">
        <v>132</v>
      </c>
      <c r="B587" s="1">
        <f t="shared" si="36"/>
        <v>45044</v>
      </c>
      <c r="C587" s="1" t="str">
        <f t="shared" si="37"/>
        <v>Friday</v>
      </c>
      <c r="D587" s="1" t="str">
        <f t="shared" si="38"/>
        <v>April</v>
      </c>
      <c r="E587" s="1" t="str">
        <f t="shared" si="39"/>
        <v>2023</v>
      </c>
      <c r="F587" t="s">
        <v>7</v>
      </c>
      <c r="G587" s="5">
        <v>871.34711931868003</v>
      </c>
      <c r="H587" s="10">
        <v>12</v>
      </c>
      <c r="I587" s="2">
        <v>169.231502632706</v>
      </c>
      <c r="J587" t="s">
        <v>14</v>
      </c>
    </row>
    <row r="588" spans="1:10" x14ac:dyDescent="0.25">
      <c r="A588" t="s">
        <v>132</v>
      </c>
      <c r="B588" s="1">
        <f t="shared" si="36"/>
        <v>45044</v>
      </c>
      <c r="C588" s="1" t="str">
        <f t="shared" si="37"/>
        <v>Friday</v>
      </c>
      <c r="D588" s="1" t="str">
        <f t="shared" si="38"/>
        <v>April</v>
      </c>
      <c r="E588" s="1" t="str">
        <f t="shared" si="39"/>
        <v>2023</v>
      </c>
      <c r="F588" t="s">
        <v>9</v>
      </c>
      <c r="G588" s="5">
        <v>1389.9836396833</v>
      </c>
      <c r="H588" s="10">
        <v>16</v>
      </c>
      <c r="I588" s="2">
        <v>435.62708962603398</v>
      </c>
      <c r="J588" t="s">
        <v>14</v>
      </c>
    </row>
    <row r="589" spans="1:10" x14ac:dyDescent="0.25">
      <c r="A589" t="s">
        <v>132</v>
      </c>
      <c r="B589" s="1">
        <f t="shared" si="36"/>
        <v>45044</v>
      </c>
      <c r="C589" s="1" t="str">
        <f t="shared" si="37"/>
        <v>Friday</v>
      </c>
      <c r="D589" s="1" t="str">
        <f t="shared" si="38"/>
        <v>April</v>
      </c>
      <c r="E589" s="1" t="str">
        <f t="shared" si="39"/>
        <v>2023</v>
      </c>
      <c r="F589" t="s">
        <v>11</v>
      </c>
      <c r="G589" s="5">
        <v>993.13958131335005</v>
      </c>
      <c r="H589" s="10">
        <v>1</v>
      </c>
      <c r="I589" s="2">
        <v>170.782500903921</v>
      </c>
      <c r="J589" t="s">
        <v>14</v>
      </c>
    </row>
    <row r="590" spans="1:10" x14ac:dyDescent="0.25">
      <c r="A590" t="s">
        <v>132</v>
      </c>
      <c r="B590" s="1">
        <f t="shared" si="36"/>
        <v>45044</v>
      </c>
      <c r="C590" s="1" t="str">
        <f t="shared" si="37"/>
        <v>Friday</v>
      </c>
      <c r="D590" s="1" t="str">
        <f t="shared" si="38"/>
        <v>April</v>
      </c>
      <c r="E590" s="1" t="str">
        <f t="shared" si="39"/>
        <v>2023</v>
      </c>
      <c r="F590" t="s">
        <v>13</v>
      </c>
      <c r="G590" s="5">
        <v>174.75956282690001</v>
      </c>
      <c r="H590" s="10">
        <v>18</v>
      </c>
      <c r="I590" s="2">
        <v>348.918436245061</v>
      </c>
      <c r="J590" t="s">
        <v>8</v>
      </c>
    </row>
    <row r="591" spans="1:10" x14ac:dyDescent="0.25">
      <c r="A591" t="s">
        <v>132</v>
      </c>
      <c r="B591" s="1">
        <f t="shared" si="36"/>
        <v>45044</v>
      </c>
      <c r="C591" s="1" t="str">
        <f t="shared" si="37"/>
        <v>Friday</v>
      </c>
      <c r="D591" s="1" t="str">
        <f t="shared" si="38"/>
        <v>April</v>
      </c>
      <c r="E591" s="1" t="str">
        <f t="shared" si="39"/>
        <v>2023</v>
      </c>
      <c r="F591" t="s">
        <v>16</v>
      </c>
      <c r="G591" s="5">
        <v>1126.4423496277</v>
      </c>
      <c r="H591" s="10">
        <v>16</v>
      </c>
      <c r="I591" s="2">
        <v>307.71571191888899</v>
      </c>
      <c r="J591" t="s">
        <v>8</v>
      </c>
    </row>
    <row r="592" spans="1:10" x14ac:dyDescent="0.25">
      <c r="A592" t="s">
        <v>133</v>
      </c>
      <c r="B592" s="1">
        <f t="shared" si="36"/>
        <v>45045</v>
      </c>
      <c r="C592" s="1" t="str">
        <f t="shared" si="37"/>
        <v>Saturday</v>
      </c>
      <c r="D592" s="1" t="str">
        <f t="shared" si="38"/>
        <v>April</v>
      </c>
      <c r="E592" s="1" t="str">
        <f t="shared" si="39"/>
        <v>2023</v>
      </c>
      <c r="F592" t="s">
        <v>7</v>
      </c>
      <c r="G592" s="5">
        <v>969.933958835</v>
      </c>
      <c r="H592" s="10">
        <v>15</v>
      </c>
      <c r="I592" s="2">
        <v>170.74688889999999</v>
      </c>
      <c r="J592" t="s">
        <v>8</v>
      </c>
    </row>
    <row r="593" spans="1:10" x14ac:dyDescent="0.25">
      <c r="A593" t="s">
        <v>133</v>
      </c>
      <c r="B593" s="1">
        <f t="shared" si="36"/>
        <v>45045</v>
      </c>
      <c r="C593" s="1" t="str">
        <f t="shared" si="37"/>
        <v>Saturday</v>
      </c>
      <c r="D593" s="1" t="str">
        <f t="shared" si="38"/>
        <v>April</v>
      </c>
      <c r="E593" s="1" t="str">
        <f t="shared" si="39"/>
        <v>2023</v>
      </c>
      <c r="F593" t="s">
        <v>9</v>
      </c>
      <c r="G593" s="5">
        <v>1367.5397445359999</v>
      </c>
      <c r="H593" s="10">
        <v>16</v>
      </c>
      <c r="I593" s="2">
        <v>180.38275083722701</v>
      </c>
      <c r="J593" t="s">
        <v>10</v>
      </c>
    </row>
    <row r="594" spans="1:10" x14ac:dyDescent="0.25">
      <c r="A594" t="s">
        <v>133</v>
      </c>
      <c r="B594" s="1">
        <f t="shared" si="36"/>
        <v>45045</v>
      </c>
      <c r="C594" s="1" t="str">
        <f t="shared" si="37"/>
        <v>Saturday</v>
      </c>
      <c r="D594" s="1" t="str">
        <f t="shared" si="38"/>
        <v>April</v>
      </c>
      <c r="E594" s="1" t="str">
        <f t="shared" si="39"/>
        <v>2023</v>
      </c>
      <c r="F594" t="s">
        <v>11</v>
      </c>
      <c r="G594" s="5">
        <v>86.614818148200001</v>
      </c>
      <c r="H594" s="10">
        <v>7</v>
      </c>
      <c r="I594" s="2">
        <v>129.21236641085201</v>
      </c>
      <c r="J594" t="s">
        <v>14</v>
      </c>
    </row>
    <row r="595" spans="1:10" x14ac:dyDescent="0.25">
      <c r="A595" t="s">
        <v>133</v>
      </c>
      <c r="B595" s="1">
        <f t="shared" si="36"/>
        <v>45045</v>
      </c>
      <c r="C595" s="1" t="str">
        <f t="shared" si="37"/>
        <v>Saturday</v>
      </c>
      <c r="D595" s="1" t="str">
        <f t="shared" si="38"/>
        <v>April</v>
      </c>
      <c r="E595" s="1" t="str">
        <f t="shared" si="39"/>
        <v>2023</v>
      </c>
      <c r="F595" t="s">
        <v>13</v>
      </c>
      <c r="G595" s="5">
        <v>16.347896761849999</v>
      </c>
      <c r="H595" s="10">
        <v>1</v>
      </c>
      <c r="I595" s="2">
        <v>372.30122867254198</v>
      </c>
      <c r="J595" t="s">
        <v>10</v>
      </c>
    </row>
    <row r="596" spans="1:10" x14ac:dyDescent="0.25">
      <c r="A596" t="s">
        <v>133</v>
      </c>
      <c r="B596" s="1">
        <f t="shared" si="36"/>
        <v>45045</v>
      </c>
      <c r="C596" s="1" t="str">
        <f t="shared" si="37"/>
        <v>Saturday</v>
      </c>
      <c r="D596" s="1" t="str">
        <f t="shared" si="38"/>
        <v>April</v>
      </c>
      <c r="E596" s="1" t="str">
        <f t="shared" si="39"/>
        <v>2023</v>
      </c>
      <c r="F596" t="s">
        <v>16</v>
      </c>
      <c r="G596" s="5">
        <v>932.72345237272896</v>
      </c>
      <c r="H596" s="10">
        <v>15</v>
      </c>
      <c r="I596" s="2">
        <v>178.703473761721</v>
      </c>
      <c r="J596" t="s">
        <v>10</v>
      </c>
    </row>
    <row r="597" spans="1:10" x14ac:dyDescent="0.25">
      <c r="A597" t="s">
        <v>134</v>
      </c>
      <c r="B597" s="1">
        <f t="shared" si="36"/>
        <v>45046</v>
      </c>
      <c r="C597" s="1" t="str">
        <f t="shared" si="37"/>
        <v>Sunday</v>
      </c>
      <c r="D597" s="1" t="str">
        <f t="shared" si="38"/>
        <v>April</v>
      </c>
      <c r="E597" s="1" t="str">
        <f t="shared" si="39"/>
        <v>2023</v>
      </c>
      <c r="F597" t="s">
        <v>7</v>
      </c>
      <c r="G597" s="5">
        <v>821.74697538112002</v>
      </c>
      <c r="H597" s="10">
        <v>3</v>
      </c>
      <c r="I597" s="2">
        <v>270.31086323950302</v>
      </c>
      <c r="J597" t="s">
        <v>8</v>
      </c>
    </row>
    <row r="598" spans="1:10" x14ac:dyDescent="0.25">
      <c r="A598" t="s">
        <v>134</v>
      </c>
      <c r="B598" s="1">
        <f t="shared" si="36"/>
        <v>45046</v>
      </c>
      <c r="C598" s="1" t="str">
        <f t="shared" si="37"/>
        <v>Sunday</v>
      </c>
      <c r="D598" s="1" t="str">
        <f t="shared" si="38"/>
        <v>April</v>
      </c>
      <c r="E598" s="1" t="str">
        <f t="shared" si="39"/>
        <v>2023</v>
      </c>
      <c r="F598" t="s">
        <v>9</v>
      </c>
      <c r="G598" s="5">
        <v>1154.1723548976699</v>
      </c>
      <c r="H598" s="10">
        <v>12</v>
      </c>
      <c r="I598" s="2">
        <v>196.01187237675299</v>
      </c>
      <c r="J598" t="s">
        <v>8</v>
      </c>
    </row>
    <row r="599" spans="1:10" x14ac:dyDescent="0.25">
      <c r="A599" t="s">
        <v>134</v>
      </c>
      <c r="B599" s="1">
        <f t="shared" si="36"/>
        <v>45046</v>
      </c>
      <c r="C599" s="1" t="str">
        <f t="shared" si="37"/>
        <v>Sunday</v>
      </c>
      <c r="D599" s="1" t="str">
        <f t="shared" si="38"/>
        <v>April</v>
      </c>
      <c r="E599" s="1" t="str">
        <f t="shared" si="39"/>
        <v>2023</v>
      </c>
      <c r="F599" t="s">
        <v>11</v>
      </c>
      <c r="G599" s="5">
        <v>153.87453458186999</v>
      </c>
      <c r="H599" s="10">
        <v>3</v>
      </c>
      <c r="I599" s="2">
        <v>124.070717229043</v>
      </c>
      <c r="J599" t="s">
        <v>10</v>
      </c>
    </row>
    <row r="600" spans="1:10" x14ac:dyDescent="0.25">
      <c r="A600" t="s">
        <v>134</v>
      </c>
      <c r="B600" s="1">
        <f t="shared" si="36"/>
        <v>45046</v>
      </c>
      <c r="C600" s="1" t="str">
        <f t="shared" si="37"/>
        <v>Sunday</v>
      </c>
      <c r="D600" s="1" t="str">
        <f t="shared" si="38"/>
        <v>April</v>
      </c>
      <c r="E600" s="1" t="str">
        <f t="shared" si="39"/>
        <v>2023</v>
      </c>
      <c r="F600" t="s">
        <v>13</v>
      </c>
      <c r="G600" s="5">
        <v>1122.9455977855</v>
      </c>
      <c r="H600" s="10">
        <v>2</v>
      </c>
      <c r="I600" s="2">
        <v>262.90027607795002</v>
      </c>
      <c r="J600" t="s">
        <v>12</v>
      </c>
    </row>
    <row r="601" spans="1:10" x14ac:dyDescent="0.25">
      <c r="A601" t="s">
        <v>134</v>
      </c>
      <c r="B601" s="1">
        <f t="shared" si="36"/>
        <v>45046</v>
      </c>
      <c r="C601" s="1" t="str">
        <f t="shared" si="37"/>
        <v>Sunday</v>
      </c>
      <c r="D601" s="1" t="str">
        <f t="shared" si="38"/>
        <v>April</v>
      </c>
      <c r="E601" s="1" t="str">
        <f t="shared" si="39"/>
        <v>2023</v>
      </c>
      <c r="F601" t="s">
        <v>16</v>
      </c>
      <c r="G601" s="5">
        <v>927.62273614437004</v>
      </c>
      <c r="H601" s="10">
        <v>14</v>
      </c>
      <c r="I601" s="2">
        <v>333.35892023506602</v>
      </c>
      <c r="J601" t="s">
        <v>14</v>
      </c>
    </row>
    <row r="602" spans="1:10" x14ac:dyDescent="0.25">
      <c r="A602" t="s">
        <v>135</v>
      </c>
      <c r="B602" s="1">
        <f t="shared" si="36"/>
        <v>45047</v>
      </c>
      <c r="C602" s="1" t="str">
        <f t="shared" si="37"/>
        <v>Monday</v>
      </c>
      <c r="D602" s="1" t="str">
        <f t="shared" si="38"/>
        <v>May</v>
      </c>
      <c r="E602" s="1" t="str">
        <f t="shared" si="39"/>
        <v>2023</v>
      </c>
      <c r="F602" t="s">
        <v>7</v>
      </c>
      <c r="G602" s="5">
        <v>928.5164618</v>
      </c>
      <c r="H602" s="10">
        <v>14</v>
      </c>
      <c r="I602" s="2">
        <v>226.298978161701</v>
      </c>
      <c r="J602" t="s">
        <v>8</v>
      </c>
    </row>
    <row r="603" spans="1:10" x14ac:dyDescent="0.25">
      <c r="A603" t="s">
        <v>135</v>
      </c>
      <c r="B603" s="1">
        <f t="shared" si="36"/>
        <v>45047</v>
      </c>
      <c r="C603" s="1" t="str">
        <f t="shared" si="37"/>
        <v>Monday</v>
      </c>
      <c r="D603" s="1" t="str">
        <f t="shared" si="38"/>
        <v>May</v>
      </c>
      <c r="E603" s="1" t="str">
        <f t="shared" si="39"/>
        <v>2023</v>
      </c>
      <c r="F603" t="s">
        <v>9</v>
      </c>
      <c r="G603" s="5">
        <v>695.87862575240001</v>
      </c>
      <c r="H603" s="10">
        <v>8</v>
      </c>
      <c r="I603" s="2">
        <v>224.05289393721</v>
      </c>
      <c r="J603" t="s">
        <v>12</v>
      </c>
    </row>
    <row r="604" spans="1:10" x14ac:dyDescent="0.25">
      <c r="A604" t="s">
        <v>135</v>
      </c>
      <c r="B604" s="1">
        <f t="shared" si="36"/>
        <v>45047</v>
      </c>
      <c r="C604" s="1" t="str">
        <f t="shared" si="37"/>
        <v>Monday</v>
      </c>
      <c r="D604" s="1" t="str">
        <f t="shared" si="38"/>
        <v>May</v>
      </c>
      <c r="E604" s="1" t="str">
        <f t="shared" si="39"/>
        <v>2023</v>
      </c>
      <c r="F604" t="s">
        <v>11</v>
      </c>
      <c r="G604" s="5">
        <v>781.46151349589695</v>
      </c>
      <c r="H604" s="10">
        <v>13</v>
      </c>
      <c r="I604" s="2">
        <v>451.93708782713298</v>
      </c>
      <c r="J604" t="s">
        <v>10</v>
      </c>
    </row>
    <row r="605" spans="1:10" x14ac:dyDescent="0.25">
      <c r="A605" t="s">
        <v>135</v>
      </c>
      <c r="B605" s="1">
        <f t="shared" si="36"/>
        <v>45047</v>
      </c>
      <c r="C605" s="1" t="str">
        <f t="shared" si="37"/>
        <v>Monday</v>
      </c>
      <c r="D605" s="1" t="str">
        <f t="shared" si="38"/>
        <v>May</v>
      </c>
      <c r="E605" s="1" t="str">
        <f t="shared" si="39"/>
        <v>2023</v>
      </c>
      <c r="F605" t="s">
        <v>13</v>
      </c>
      <c r="G605" s="5">
        <v>1265.4253164289901</v>
      </c>
      <c r="H605" s="10">
        <v>9</v>
      </c>
      <c r="I605" s="2">
        <v>242.23445703622301</v>
      </c>
      <c r="J605" t="s">
        <v>10</v>
      </c>
    </row>
    <row r="606" spans="1:10" x14ac:dyDescent="0.25">
      <c r="A606" t="s">
        <v>135</v>
      </c>
      <c r="B606" s="1">
        <f t="shared" si="36"/>
        <v>45047</v>
      </c>
      <c r="C606" s="1" t="str">
        <f t="shared" si="37"/>
        <v>Monday</v>
      </c>
      <c r="D606" s="1" t="str">
        <f t="shared" si="38"/>
        <v>May</v>
      </c>
      <c r="E606" s="1" t="str">
        <f t="shared" si="39"/>
        <v>2023</v>
      </c>
      <c r="F606" t="s">
        <v>16</v>
      </c>
      <c r="G606" s="5">
        <v>1659.8579893484</v>
      </c>
      <c r="H606" s="10">
        <v>14</v>
      </c>
      <c r="I606" s="2">
        <v>274.76119763310498</v>
      </c>
      <c r="J606" t="s">
        <v>8</v>
      </c>
    </row>
    <row r="607" spans="1:10" x14ac:dyDescent="0.25">
      <c r="A607" t="s">
        <v>136</v>
      </c>
      <c r="B607" s="1">
        <f t="shared" si="36"/>
        <v>45048</v>
      </c>
      <c r="C607" s="1" t="str">
        <f t="shared" si="37"/>
        <v>Tuesday</v>
      </c>
      <c r="D607" s="1" t="str">
        <f t="shared" si="38"/>
        <v>May</v>
      </c>
      <c r="E607" s="1" t="str">
        <f t="shared" si="39"/>
        <v>2023</v>
      </c>
      <c r="F607" t="s">
        <v>7</v>
      </c>
      <c r="G607" s="5">
        <v>836.92212288292001</v>
      </c>
      <c r="H607" s="10">
        <v>4</v>
      </c>
      <c r="I607" s="2">
        <v>149.54357961277699</v>
      </c>
      <c r="J607" t="s">
        <v>12</v>
      </c>
    </row>
    <row r="608" spans="1:10" x14ac:dyDescent="0.25">
      <c r="A608" t="s">
        <v>136</v>
      </c>
      <c r="B608" s="1">
        <f t="shared" si="36"/>
        <v>45048</v>
      </c>
      <c r="C608" s="1" t="str">
        <f t="shared" si="37"/>
        <v>Tuesday</v>
      </c>
      <c r="D608" s="1" t="str">
        <f t="shared" si="38"/>
        <v>May</v>
      </c>
      <c r="E608" s="1" t="str">
        <f t="shared" si="39"/>
        <v>2023</v>
      </c>
      <c r="F608" t="s">
        <v>9</v>
      </c>
      <c r="G608" s="5">
        <v>125.7521191795</v>
      </c>
      <c r="H608" s="10">
        <v>14</v>
      </c>
      <c r="I608" s="2">
        <v>286.70514913639801</v>
      </c>
      <c r="J608" t="s">
        <v>10</v>
      </c>
    </row>
    <row r="609" spans="1:10" x14ac:dyDescent="0.25">
      <c r="A609" t="s">
        <v>136</v>
      </c>
      <c r="B609" s="1">
        <f t="shared" si="36"/>
        <v>45048</v>
      </c>
      <c r="C609" s="1" t="str">
        <f t="shared" si="37"/>
        <v>Tuesday</v>
      </c>
      <c r="D609" s="1" t="str">
        <f t="shared" si="38"/>
        <v>May</v>
      </c>
      <c r="E609" s="1" t="str">
        <f t="shared" si="39"/>
        <v>2023</v>
      </c>
      <c r="F609" t="s">
        <v>11</v>
      </c>
      <c r="G609" s="5">
        <v>825.99159925346805</v>
      </c>
      <c r="H609" s="10">
        <v>9</v>
      </c>
      <c r="I609" s="2">
        <v>156.918359893446</v>
      </c>
      <c r="J609" t="s">
        <v>12</v>
      </c>
    </row>
    <row r="610" spans="1:10" x14ac:dyDescent="0.25">
      <c r="A610" t="s">
        <v>136</v>
      </c>
      <c r="B610" s="1">
        <f t="shared" si="36"/>
        <v>45048</v>
      </c>
      <c r="C610" s="1" t="str">
        <f t="shared" si="37"/>
        <v>Tuesday</v>
      </c>
      <c r="D610" s="1" t="str">
        <f t="shared" si="38"/>
        <v>May</v>
      </c>
      <c r="E610" s="1" t="str">
        <f t="shared" si="39"/>
        <v>2023</v>
      </c>
      <c r="F610" t="s">
        <v>13</v>
      </c>
      <c r="G610" s="5">
        <v>83.398615943999999</v>
      </c>
      <c r="H610" s="10">
        <v>8</v>
      </c>
      <c r="I610" s="2">
        <v>291.74461210206999</v>
      </c>
      <c r="J610" t="s">
        <v>8</v>
      </c>
    </row>
    <row r="611" spans="1:10" x14ac:dyDescent="0.25">
      <c r="A611" t="s">
        <v>136</v>
      </c>
      <c r="B611" s="1">
        <f t="shared" si="36"/>
        <v>45048</v>
      </c>
      <c r="C611" s="1" t="str">
        <f t="shared" si="37"/>
        <v>Tuesday</v>
      </c>
      <c r="D611" s="1" t="str">
        <f t="shared" si="38"/>
        <v>May</v>
      </c>
      <c r="E611" s="1" t="str">
        <f t="shared" si="39"/>
        <v>2023</v>
      </c>
      <c r="F611" t="s">
        <v>16</v>
      </c>
      <c r="G611" s="5">
        <v>144.6252688756</v>
      </c>
      <c r="H611" s="10">
        <v>14</v>
      </c>
      <c r="I611" s="2">
        <v>211.141490577301</v>
      </c>
      <c r="J611" t="s">
        <v>14</v>
      </c>
    </row>
    <row r="612" spans="1:10" x14ac:dyDescent="0.25">
      <c r="A612" t="s">
        <v>137</v>
      </c>
      <c r="B612" s="1">
        <f t="shared" si="36"/>
        <v>45049</v>
      </c>
      <c r="C612" s="1" t="str">
        <f t="shared" si="37"/>
        <v>Wednesday</v>
      </c>
      <c r="D612" s="1" t="str">
        <f t="shared" si="38"/>
        <v>May</v>
      </c>
      <c r="E612" s="1" t="str">
        <f t="shared" si="39"/>
        <v>2023</v>
      </c>
      <c r="F612" t="s">
        <v>7</v>
      </c>
      <c r="G612" s="5">
        <v>836.92212288292001</v>
      </c>
      <c r="H612" s="10">
        <v>12</v>
      </c>
      <c r="I612" s="2">
        <v>335.38739134748198</v>
      </c>
      <c r="J612" t="s">
        <v>14</v>
      </c>
    </row>
    <row r="613" spans="1:10" x14ac:dyDescent="0.25">
      <c r="A613" t="s">
        <v>137</v>
      </c>
      <c r="B613" s="1">
        <f t="shared" si="36"/>
        <v>45049</v>
      </c>
      <c r="C613" s="1" t="str">
        <f t="shared" si="37"/>
        <v>Wednesday</v>
      </c>
      <c r="D613" s="1" t="str">
        <f t="shared" si="38"/>
        <v>May</v>
      </c>
      <c r="E613" s="1" t="str">
        <f t="shared" si="39"/>
        <v>2023</v>
      </c>
      <c r="F613" t="s">
        <v>9</v>
      </c>
      <c r="G613" s="5">
        <v>85.266423880999994</v>
      </c>
      <c r="H613" s="10">
        <v>14</v>
      </c>
      <c r="I613" s="2">
        <v>287.22216474414802</v>
      </c>
      <c r="J613" t="s">
        <v>10</v>
      </c>
    </row>
    <row r="614" spans="1:10" x14ac:dyDescent="0.25">
      <c r="A614" t="s">
        <v>137</v>
      </c>
      <c r="B614" s="1">
        <f t="shared" si="36"/>
        <v>45049</v>
      </c>
      <c r="C614" s="1" t="str">
        <f t="shared" si="37"/>
        <v>Wednesday</v>
      </c>
      <c r="D614" s="1" t="str">
        <f t="shared" si="38"/>
        <v>May</v>
      </c>
      <c r="E614" s="1" t="str">
        <f t="shared" si="39"/>
        <v>2023</v>
      </c>
      <c r="F614" t="s">
        <v>11</v>
      </c>
      <c r="G614" s="5">
        <v>632.21999547389998</v>
      </c>
      <c r="H614" s="10">
        <v>5</v>
      </c>
      <c r="I614" s="2">
        <v>176.82785507617501</v>
      </c>
      <c r="J614" t="s">
        <v>8</v>
      </c>
    </row>
    <row r="615" spans="1:10" x14ac:dyDescent="0.25">
      <c r="A615" t="s">
        <v>137</v>
      </c>
      <c r="B615" s="1">
        <f t="shared" si="36"/>
        <v>45049</v>
      </c>
      <c r="C615" s="1" t="str">
        <f t="shared" si="37"/>
        <v>Wednesday</v>
      </c>
      <c r="D615" s="1" t="str">
        <f t="shared" si="38"/>
        <v>May</v>
      </c>
      <c r="E615" s="1" t="str">
        <f t="shared" si="39"/>
        <v>2023</v>
      </c>
      <c r="F615" t="s">
        <v>13</v>
      </c>
      <c r="G615" s="5">
        <v>746.15692945599994</v>
      </c>
      <c r="H615" s="10">
        <v>9</v>
      </c>
      <c r="I615" s="2">
        <v>460.82518670000002</v>
      </c>
      <c r="J615" t="s">
        <v>14</v>
      </c>
    </row>
    <row r="616" spans="1:10" x14ac:dyDescent="0.25">
      <c r="A616" t="s">
        <v>137</v>
      </c>
      <c r="B616" s="1">
        <f t="shared" si="36"/>
        <v>45049</v>
      </c>
      <c r="C616" s="1" t="str">
        <f t="shared" si="37"/>
        <v>Wednesday</v>
      </c>
      <c r="D616" s="1" t="str">
        <f t="shared" si="38"/>
        <v>May</v>
      </c>
      <c r="E616" s="1" t="str">
        <f t="shared" si="39"/>
        <v>2023</v>
      </c>
      <c r="F616" t="s">
        <v>16</v>
      </c>
      <c r="G616" s="5">
        <v>844.62625000000003</v>
      </c>
      <c r="H616" s="10">
        <v>12</v>
      </c>
      <c r="I616" s="2">
        <v>202.14436503285199</v>
      </c>
      <c r="J616" t="s">
        <v>10</v>
      </c>
    </row>
    <row r="617" spans="1:10" x14ac:dyDescent="0.25">
      <c r="A617" t="s">
        <v>138</v>
      </c>
      <c r="B617" s="1">
        <f t="shared" si="36"/>
        <v>45050</v>
      </c>
      <c r="C617" s="1" t="str">
        <f t="shared" si="37"/>
        <v>Thursday</v>
      </c>
      <c r="D617" s="1" t="str">
        <f t="shared" si="38"/>
        <v>May</v>
      </c>
      <c r="E617" s="1" t="str">
        <f t="shared" si="39"/>
        <v>2023</v>
      </c>
      <c r="F617" t="s">
        <v>7</v>
      </c>
      <c r="G617" s="5">
        <v>172.31454313244001</v>
      </c>
      <c r="H617" s="10">
        <v>9</v>
      </c>
      <c r="I617" s="2">
        <v>216.86994373699901</v>
      </c>
      <c r="J617" t="s">
        <v>14</v>
      </c>
    </row>
    <row r="618" spans="1:10" x14ac:dyDescent="0.25">
      <c r="A618" t="s">
        <v>138</v>
      </c>
      <c r="B618" s="1">
        <f t="shared" si="36"/>
        <v>45050</v>
      </c>
      <c r="C618" s="1" t="str">
        <f t="shared" si="37"/>
        <v>Thursday</v>
      </c>
      <c r="D618" s="1" t="str">
        <f t="shared" si="38"/>
        <v>May</v>
      </c>
      <c r="E618" s="1" t="str">
        <f t="shared" si="39"/>
        <v>2023</v>
      </c>
      <c r="F618" t="s">
        <v>9</v>
      </c>
      <c r="G618" s="5">
        <v>1631.5672362400001</v>
      </c>
      <c r="H618" s="10">
        <v>19</v>
      </c>
      <c r="I618" s="2">
        <v>381.08989234561801</v>
      </c>
      <c r="J618" t="s">
        <v>8</v>
      </c>
    </row>
    <row r="619" spans="1:10" x14ac:dyDescent="0.25">
      <c r="A619" t="s">
        <v>138</v>
      </c>
      <c r="B619" s="1">
        <f t="shared" si="36"/>
        <v>45050</v>
      </c>
      <c r="C619" s="1" t="str">
        <f t="shared" si="37"/>
        <v>Thursday</v>
      </c>
      <c r="D619" s="1" t="str">
        <f t="shared" si="38"/>
        <v>May</v>
      </c>
      <c r="E619" s="1" t="str">
        <f t="shared" si="39"/>
        <v>2023</v>
      </c>
      <c r="F619" t="s">
        <v>11</v>
      </c>
      <c r="G619" s="5">
        <v>666.83671888859999</v>
      </c>
      <c r="H619" s="10">
        <v>19</v>
      </c>
      <c r="I619" s="2">
        <v>114.05353412084</v>
      </c>
      <c r="J619" t="s">
        <v>10</v>
      </c>
    </row>
    <row r="620" spans="1:10" x14ac:dyDescent="0.25">
      <c r="A620" t="s">
        <v>138</v>
      </c>
      <c r="B620" s="1">
        <f t="shared" si="36"/>
        <v>45050</v>
      </c>
      <c r="C620" s="1" t="str">
        <f t="shared" si="37"/>
        <v>Thursday</v>
      </c>
      <c r="D620" s="1" t="str">
        <f t="shared" si="38"/>
        <v>May</v>
      </c>
      <c r="E620" s="1" t="str">
        <f t="shared" si="39"/>
        <v>2023</v>
      </c>
      <c r="F620" t="s">
        <v>13</v>
      </c>
      <c r="G620" s="5">
        <v>891.17862595466499</v>
      </c>
      <c r="H620" s="10">
        <v>12</v>
      </c>
      <c r="I620" s="2">
        <v>219.49740299999999</v>
      </c>
      <c r="J620" t="s">
        <v>12</v>
      </c>
    </row>
    <row r="621" spans="1:10" x14ac:dyDescent="0.25">
      <c r="A621" t="s">
        <v>138</v>
      </c>
      <c r="B621" s="1">
        <f t="shared" si="36"/>
        <v>45050</v>
      </c>
      <c r="C621" s="1" t="str">
        <f t="shared" si="37"/>
        <v>Thursday</v>
      </c>
      <c r="D621" s="1" t="str">
        <f t="shared" si="38"/>
        <v>May</v>
      </c>
      <c r="E621" s="1" t="str">
        <f t="shared" si="39"/>
        <v>2023</v>
      </c>
      <c r="F621" t="s">
        <v>16</v>
      </c>
      <c r="G621" s="5">
        <v>849.22161818129996</v>
      </c>
      <c r="H621" s="10">
        <v>12</v>
      </c>
      <c r="I621" s="2">
        <v>327.08505646893701</v>
      </c>
      <c r="J621" t="s">
        <v>12</v>
      </c>
    </row>
    <row r="622" spans="1:10" x14ac:dyDescent="0.25">
      <c r="A622" t="s">
        <v>139</v>
      </c>
      <c r="B622" s="1">
        <f t="shared" si="36"/>
        <v>45051</v>
      </c>
      <c r="C622" s="1" t="str">
        <f t="shared" si="37"/>
        <v>Friday</v>
      </c>
      <c r="D622" s="1" t="str">
        <f t="shared" si="38"/>
        <v>May</v>
      </c>
      <c r="E622" s="1" t="str">
        <f t="shared" si="39"/>
        <v>2023</v>
      </c>
      <c r="F622" t="s">
        <v>7</v>
      </c>
      <c r="G622" s="5">
        <v>115.96221835235001</v>
      </c>
      <c r="H622" s="10">
        <v>8</v>
      </c>
      <c r="I622" s="2">
        <v>320.984752197376</v>
      </c>
      <c r="J622" t="s">
        <v>12</v>
      </c>
    </row>
    <row r="623" spans="1:10" x14ac:dyDescent="0.25">
      <c r="A623" t="s">
        <v>139</v>
      </c>
      <c r="B623" s="1">
        <f t="shared" si="36"/>
        <v>45051</v>
      </c>
      <c r="C623" s="1" t="str">
        <f t="shared" si="37"/>
        <v>Friday</v>
      </c>
      <c r="D623" s="1" t="str">
        <f t="shared" si="38"/>
        <v>May</v>
      </c>
      <c r="E623" s="1" t="str">
        <f t="shared" si="39"/>
        <v>2023</v>
      </c>
      <c r="F623" t="s">
        <v>9</v>
      </c>
      <c r="G623" s="5">
        <v>994.64454355099997</v>
      </c>
      <c r="H623" s="10">
        <v>18</v>
      </c>
      <c r="I623" s="2">
        <v>207.31802450000001</v>
      </c>
      <c r="J623" t="s">
        <v>14</v>
      </c>
    </row>
    <row r="624" spans="1:10" x14ac:dyDescent="0.25">
      <c r="A624" t="s">
        <v>139</v>
      </c>
      <c r="B624" s="1">
        <f t="shared" si="36"/>
        <v>45051</v>
      </c>
      <c r="C624" s="1" t="str">
        <f t="shared" si="37"/>
        <v>Friday</v>
      </c>
      <c r="D624" s="1" t="str">
        <f t="shared" si="38"/>
        <v>May</v>
      </c>
      <c r="E624" s="1" t="str">
        <f t="shared" si="39"/>
        <v>2023</v>
      </c>
      <c r="F624" t="s">
        <v>11</v>
      </c>
      <c r="G624" s="5">
        <v>1241.969253429</v>
      </c>
      <c r="H624" s="10">
        <v>19</v>
      </c>
      <c r="I624" s="2">
        <v>227.33538302097099</v>
      </c>
      <c r="J624" t="s">
        <v>8</v>
      </c>
    </row>
    <row r="625" spans="1:10" x14ac:dyDescent="0.25">
      <c r="A625" t="s">
        <v>139</v>
      </c>
      <c r="B625" s="1">
        <f t="shared" si="36"/>
        <v>45051</v>
      </c>
      <c r="C625" s="1" t="str">
        <f t="shared" si="37"/>
        <v>Friday</v>
      </c>
      <c r="D625" s="1" t="str">
        <f t="shared" si="38"/>
        <v>May</v>
      </c>
      <c r="E625" s="1" t="str">
        <f t="shared" si="39"/>
        <v>2023</v>
      </c>
      <c r="F625" t="s">
        <v>13</v>
      </c>
      <c r="G625" s="5">
        <v>161.81485536385</v>
      </c>
      <c r="H625" s="10">
        <v>13</v>
      </c>
      <c r="I625" s="2">
        <v>259.732992456001</v>
      </c>
      <c r="J625" t="s">
        <v>14</v>
      </c>
    </row>
    <row r="626" spans="1:10" x14ac:dyDescent="0.25">
      <c r="A626" t="s">
        <v>139</v>
      </c>
      <c r="B626" s="1">
        <f t="shared" si="36"/>
        <v>45051</v>
      </c>
      <c r="C626" s="1" t="str">
        <f t="shared" si="37"/>
        <v>Friday</v>
      </c>
      <c r="D626" s="1" t="str">
        <f t="shared" si="38"/>
        <v>May</v>
      </c>
      <c r="E626" s="1" t="str">
        <f t="shared" si="39"/>
        <v>2023</v>
      </c>
      <c r="F626" t="s">
        <v>16</v>
      </c>
      <c r="G626" s="5">
        <v>244.77692874100001</v>
      </c>
      <c r="H626" s="10">
        <v>17</v>
      </c>
      <c r="I626" s="2">
        <v>62.4094623440512</v>
      </c>
      <c r="J626" t="s">
        <v>12</v>
      </c>
    </row>
    <row r="627" spans="1:10" x14ac:dyDescent="0.25">
      <c r="A627" t="s">
        <v>140</v>
      </c>
      <c r="B627" s="1">
        <f t="shared" si="36"/>
        <v>45052</v>
      </c>
      <c r="C627" s="1" t="str">
        <f t="shared" si="37"/>
        <v>Saturday</v>
      </c>
      <c r="D627" s="1" t="str">
        <f t="shared" si="38"/>
        <v>May</v>
      </c>
      <c r="E627" s="1" t="str">
        <f t="shared" si="39"/>
        <v>2023</v>
      </c>
      <c r="F627" t="s">
        <v>7</v>
      </c>
      <c r="G627" s="5">
        <v>565.17946145123994</v>
      </c>
      <c r="H627" s="10">
        <v>17</v>
      </c>
      <c r="I627" s="2">
        <v>57.800889410508702</v>
      </c>
      <c r="J627" t="s">
        <v>12</v>
      </c>
    </row>
    <row r="628" spans="1:10" x14ac:dyDescent="0.25">
      <c r="A628" t="s">
        <v>140</v>
      </c>
      <c r="B628" s="1">
        <f t="shared" si="36"/>
        <v>45052</v>
      </c>
      <c r="C628" s="1" t="str">
        <f t="shared" si="37"/>
        <v>Saturday</v>
      </c>
      <c r="D628" s="1" t="str">
        <f t="shared" si="38"/>
        <v>May</v>
      </c>
      <c r="E628" s="1" t="str">
        <f t="shared" si="39"/>
        <v>2023</v>
      </c>
      <c r="F628" t="s">
        <v>9</v>
      </c>
      <c r="G628" s="5">
        <v>189.37631957794</v>
      </c>
      <c r="H628" s="10">
        <v>1</v>
      </c>
      <c r="I628" s="2">
        <v>219.68166206572599</v>
      </c>
      <c r="J628" t="s">
        <v>8</v>
      </c>
    </row>
    <row r="629" spans="1:10" x14ac:dyDescent="0.25">
      <c r="A629" t="s">
        <v>140</v>
      </c>
      <c r="B629" s="1">
        <f t="shared" si="36"/>
        <v>45052</v>
      </c>
      <c r="C629" s="1" t="str">
        <f t="shared" si="37"/>
        <v>Saturday</v>
      </c>
      <c r="D629" s="1" t="str">
        <f t="shared" si="38"/>
        <v>May</v>
      </c>
      <c r="E629" s="1" t="str">
        <f t="shared" si="39"/>
        <v>2023</v>
      </c>
      <c r="F629" t="s">
        <v>11</v>
      </c>
      <c r="G629" s="5">
        <v>186.61971841598</v>
      </c>
      <c r="H629" s="10">
        <v>17</v>
      </c>
      <c r="I629" s="2">
        <v>179.893100244701</v>
      </c>
      <c r="J629" t="s">
        <v>12</v>
      </c>
    </row>
    <row r="630" spans="1:10" x14ac:dyDescent="0.25">
      <c r="A630" t="s">
        <v>140</v>
      </c>
      <c r="B630" s="1">
        <f t="shared" si="36"/>
        <v>45052</v>
      </c>
      <c r="C630" s="1" t="str">
        <f t="shared" si="37"/>
        <v>Saturday</v>
      </c>
      <c r="D630" s="1" t="str">
        <f t="shared" si="38"/>
        <v>May</v>
      </c>
      <c r="E630" s="1" t="str">
        <f t="shared" si="39"/>
        <v>2023</v>
      </c>
      <c r="F630" t="s">
        <v>13</v>
      </c>
      <c r="G630" s="5">
        <v>1113.252182896</v>
      </c>
      <c r="H630" s="10">
        <v>9</v>
      </c>
      <c r="I630" s="2">
        <v>384.06097707376</v>
      </c>
      <c r="J630" t="s">
        <v>8</v>
      </c>
    </row>
    <row r="631" spans="1:10" x14ac:dyDescent="0.25">
      <c r="A631" t="s">
        <v>140</v>
      </c>
      <c r="B631" s="1">
        <f t="shared" si="36"/>
        <v>45052</v>
      </c>
      <c r="C631" s="1" t="str">
        <f t="shared" si="37"/>
        <v>Saturday</v>
      </c>
      <c r="D631" s="1" t="str">
        <f t="shared" si="38"/>
        <v>May</v>
      </c>
      <c r="E631" s="1" t="str">
        <f t="shared" si="39"/>
        <v>2023</v>
      </c>
      <c r="F631" t="s">
        <v>16</v>
      </c>
      <c r="G631" s="5">
        <v>945.85363325900005</v>
      </c>
      <c r="H631" s="10">
        <v>9</v>
      </c>
      <c r="I631" s="2">
        <v>326.75629155148999</v>
      </c>
      <c r="J631" t="s">
        <v>8</v>
      </c>
    </row>
    <row r="632" spans="1:10" x14ac:dyDescent="0.25">
      <c r="A632" t="s">
        <v>141</v>
      </c>
      <c r="B632" s="1">
        <f t="shared" si="36"/>
        <v>45053</v>
      </c>
      <c r="C632" s="1" t="str">
        <f t="shared" si="37"/>
        <v>Sunday</v>
      </c>
      <c r="D632" s="1" t="str">
        <f t="shared" si="38"/>
        <v>May</v>
      </c>
      <c r="E632" s="1" t="str">
        <f t="shared" si="39"/>
        <v>2023</v>
      </c>
      <c r="F632" t="s">
        <v>7</v>
      </c>
      <c r="G632" s="5">
        <v>131.63241591810001</v>
      </c>
      <c r="H632" s="10">
        <v>9</v>
      </c>
      <c r="I632" s="2">
        <v>112.28326843280099</v>
      </c>
      <c r="J632" t="s">
        <v>14</v>
      </c>
    </row>
    <row r="633" spans="1:10" x14ac:dyDescent="0.25">
      <c r="A633" t="s">
        <v>141</v>
      </c>
      <c r="B633" s="1">
        <f t="shared" si="36"/>
        <v>45053</v>
      </c>
      <c r="C633" s="1" t="str">
        <f t="shared" si="37"/>
        <v>Sunday</v>
      </c>
      <c r="D633" s="1" t="str">
        <f t="shared" si="38"/>
        <v>May</v>
      </c>
      <c r="E633" s="1" t="str">
        <f t="shared" si="39"/>
        <v>2023</v>
      </c>
      <c r="F633" t="s">
        <v>9</v>
      </c>
      <c r="G633" s="5">
        <v>351.33423370000003</v>
      </c>
      <c r="H633" s="10">
        <v>11</v>
      </c>
      <c r="I633" s="2">
        <v>39.861001557879398</v>
      </c>
      <c r="J633" t="s">
        <v>10</v>
      </c>
    </row>
    <row r="634" spans="1:10" x14ac:dyDescent="0.25">
      <c r="A634" t="s">
        <v>141</v>
      </c>
      <c r="B634" s="1">
        <f t="shared" si="36"/>
        <v>45053</v>
      </c>
      <c r="C634" s="1" t="str">
        <f t="shared" si="37"/>
        <v>Sunday</v>
      </c>
      <c r="D634" s="1" t="str">
        <f t="shared" si="38"/>
        <v>May</v>
      </c>
      <c r="E634" s="1" t="str">
        <f t="shared" si="39"/>
        <v>2023</v>
      </c>
      <c r="F634" t="s">
        <v>11</v>
      </c>
      <c r="G634" s="5">
        <v>88.266444300000003</v>
      </c>
      <c r="H634" s="10">
        <v>1</v>
      </c>
      <c r="I634" s="2">
        <v>190.984109394917</v>
      </c>
      <c r="J634" t="s">
        <v>10</v>
      </c>
    </row>
    <row r="635" spans="1:10" x14ac:dyDescent="0.25">
      <c r="A635" t="s">
        <v>141</v>
      </c>
      <c r="B635" s="1">
        <f t="shared" si="36"/>
        <v>45053</v>
      </c>
      <c r="C635" s="1" t="str">
        <f t="shared" si="37"/>
        <v>Sunday</v>
      </c>
      <c r="D635" s="1" t="str">
        <f t="shared" si="38"/>
        <v>May</v>
      </c>
      <c r="E635" s="1" t="str">
        <f t="shared" si="39"/>
        <v>2023</v>
      </c>
      <c r="F635" t="s">
        <v>13</v>
      </c>
      <c r="G635" s="5">
        <v>84.139682765309999</v>
      </c>
      <c r="H635" s="10">
        <v>12</v>
      </c>
      <c r="I635" s="2">
        <v>293.24852492249403</v>
      </c>
      <c r="J635" t="s">
        <v>8</v>
      </c>
    </row>
    <row r="636" spans="1:10" x14ac:dyDescent="0.25">
      <c r="A636" t="s">
        <v>141</v>
      </c>
      <c r="B636" s="1">
        <f t="shared" si="36"/>
        <v>45053</v>
      </c>
      <c r="C636" s="1" t="str">
        <f t="shared" si="37"/>
        <v>Sunday</v>
      </c>
      <c r="D636" s="1" t="str">
        <f t="shared" si="38"/>
        <v>May</v>
      </c>
      <c r="E636" s="1" t="str">
        <f t="shared" si="39"/>
        <v>2023</v>
      </c>
      <c r="F636" t="s">
        <v>16</v>
      </c>
      <c r="G636" s="5">
        <v>1231.6646861199999</v>
      </c>
      <c r="H636" s="10">
        <v>16</v>
      </c>
      <c r="I636" s="2">
        <v>232.79615151905901</v>
      </c>
      <c r="J636" t="s">
        <v>12</v>
      </c>
    </row>
    <row r="637" spans="1:10" x14ac:dyDescent="0.25">
      <c r="A637" t="s">
        <v>142</v>
      </c>
      <c r="B637" s="1">
        <f t="shared" si="36"/>
        <v>45054</v>
      </c>
      <c r="C637" s="1" t="str">
        <f t="shared" si="37"/>
        <v>Monday</v>
      </c>
      <c r="D637" s="1" t="str">
        <f t="shared" si="38"/>
        <v>May</v>
      </c>
      <c r="E637" s="1" t="str">
        <f t="shared" si="39"/>
        <v>2023</v>
      </c>
      <c r="F637" t="s">
        <v>7</v>
      </c>
      <c r="G637" s="5">
        <v>1459.39712337384</v>
      </c>
      <c r="H637" s="10">
        <v>7</v>
      </c>
      <c r="I637" s="2">
        <v>563.63367293767101</v>
      </c>
      <c r="J637" t="s">
        <v>8</v>
      </c>
    </row>
    <row r="638" spans="1:10" x14ac:dyDescent="0.25">
      <c r="A638" t="s">
        <v>142</v>
      </c>
      <c r="B638" s="1">
        <f t="shared" si="36"/>
        <v>45054</v>
      </c>
      <c r="C638" s="1" t="str">
        <f t="shared" si="37"/>
        <v>Monday</v>
      </c>
      <c r="D638" s="1" t="str">
        <f t="shared" si="38"/>
        <v>May</v>
      </c>
      <c r="E638" s="1" t="str">
        <f t="shared" si="39"/>
        <v>2023</v>
      </c>
      <c r="F638" t="s">
        <v>9</v>
      </c>
      <c r="G638" s="5">
        <v>143.4629939726</v>
      </c>
      <c r="H638" s="10">
        <v>18</v>
      </c>
      <c r="I638" s="2">
        <v>184.70110083751101</v>
      </c>
      <c r="J638" t="s">
        <v>14</v>
      </c>
    </row>
    <row r="639" spans="1:10" x14ac:dyDescent="0.25">
      <c r="A639" t="s">
        <v>142</v>
      </c>
      <c r="B639" s="1">
        <f t="shared" si="36"/>
        <v>45054</v>
      </c>
      <c r="C639" s="1" t="str">
        <f t="shared" si="37"/>
        <v>Monday</v>
      </c>
      <c r="D639" s="1" t="str">
        <f t="shared" si="38"/>
        <v>May</v>
      </c>
      <c r="E639" s="1" t="str">
        <f t="shared" si="39"/>
        <v>2023</v>
      </c>
      <c r="F639" t="s">
        <v>11</v>
      </c>
      <c r="G639" s="5">
        <v>815.56814452924004</v>
      </c>
      <c r="H639" s="10">
        <v>1</v>
      </c>
      <c r="I639" s="2">
        <v>193.18440240997401</v>
      </c>
      <c r="J639" t="s">
        <v>12</v>
      </c>
    </row>
    <row r="640" spans="1:10" x14ac:dyDescent="0.25">
      <c r="A640" t="s">
        <v>142</v>
      </c>
      <c r="B640" s="1">
        <f t="shared" si="36"/>
        <v>45054</v>
      </c>
      <c r="C640" s="1" t="str">
        <f t="shared" si="37"/>
        <v>Monday</v>
      </c>
      <c r="D640" s="1" t="str">
        <f t="shared" si="38"/>
        <v>May</v>
      </c>
      <c r="E640" s="1" t="str">
        <f t="shared" si="39"/>
        <v>2023</v>
      </c>
      <c r="F640" t="s">
        <v>13</v>
      </c>
      <c r="G640" s="5">
        <v>158.1873494852</v>
      </c>
      <c r="H640" s="10">
        <v>8</v>
      </c>
      <c r="I640" s="2">
        <v>344.23000785386103</v>
      </c>
      <c r="J640" t="s">
        <v>8</v>
      </c>
    </row>
    <row r="641" spans="1:10" x14ac:dyDescent="0.25">
      <c r="A641" t="s">
        <v>142</v>
      </c>
      <c r="B641" s="1">
        <f t="shared" si="36"/>
        <v>45054</v>
      </c>
      <c r="C641" s="1" t="str">
        <f t="shared" si="37"/>
        <v>Monday</v>
      </c>
      <c r="D641" s="1" t="str">
        <f t="shared" si="38"/>
        <v>May</v>
      </c>
      <c r="E641" s="1" t="str">
        <f t="shared" si="39"/>
        <v>2023</v>
      </c>
      <c r="F641" t="s">
        <v>16</v>
      </c>
      <c r="G641" s="5">
        <v>754.41499610000005</v>
      </c>
      <c r="H641" s="10">
        <v>12</v>
      </c>
      <c r="I641" s="2">
        <v>93.588201119999994</v>
      </c>
      <c r="J641" t="s">
        <v>10</v>
      </c>
    </row>
    <row r="642" spans="1:10" x14ac:dyDescent="0.25">
      <c r="A642" t="s">
        <v>143</v>
      </c>
      <c r="B642" s="1">
        <f t="shared" si="36"/>
        <v>45055</v>
      </c>
      <c r="C642" s="1" t="str">
        <f t="shared" si="37"/>
        <v>Tuesday</v>
      </c>
      <c r="D642" s="1" t="str">
        <f t="shared" si="38"/>
        <v>May</v>
      </c>
      <c r="E642" s="1" t="str">
        <f t="shared" si="39"/>
        <v>2023</v>
      </c>
      <c r="F642" t="s">
        <v>7</v>
      </c>
      <c r="G642" s="5">
        <v>842.11164631969996</v>
      </c>
      <c r="H642" s="10">
        <v>9</v>
      </c>
      <c r="I642" s="2">
        <v>247.526107857634</v>
      </c>
      <c r="J642" t="s">
        <v>10</v>
      </c>
    </row>
    <row r="643" spans="1:10" x14ac:dyDescent="0.25">
      <c r="A643" t="s">
        <v>143</v>
      </c>
      <c r="B643" s="1">
        <f t="shared" ref="B643:B706" si="40">DATE(VALUE(RIGHT(A643,4)),VALUE(LEFT(A643,FIND("/",A643)-1)),VALUE(MID(A643,FIND("/",A643)+1,FIND("/",A643,FIND("/",A643)+1)-FIND("/",A643)-1)))</f>
        <v>45055</v>
      </c>
      <c r="C643" s="1" t="str">
        <f t="shared" ref="C643:C706" si="41">TEXT(B643,"DDDD")</f>
        <v>Tuesday</v>
      </c>
      <c r="D643" s="1" t="str">
        <f t="shared" ref="D643:D706" si="42">TEXT(B643,"MMMM")</f>
        <v>May</v>
      </c>
      <c r="E643" s="1" t="str">
        <f t="shared" ref="E643:E706" si="43">TEXT(B643,"YYYY")</f>
        <v>2023</v>
      </c>
      <c r="F643" t="s">
        <v>9</v>
      </c>
      <c r="G643" s="5">
        <v>1451.7454862918901</v>
      </c>
      <c r="H643" s="10">
        <v>11</v>
      </c>
      <c r="I643" s="2">
        <v>405.91924645238998</v>
      </c>
      <c r="J643" t="s">
        <v>12</v>
      </c>
    </row>
    <row r="644" spans="1:10" x14ac:dyDescent="0.25">
      <c r="A644" t="s">
        <v>143</v>
      </c>
      <c r="B644" s="1">
        <f t="shared" si="40"/>
        <v>45055</v>
      </c>
      <c r="C644" s="1" t="str">
        <f t="shared" si="41"/>
        <v>Tuesday</v>
      </c>
      <c r="D644" s="1" t="str">
        <f t="shared" si="42"/>
        <v>May</v>
      </c>
      <c r="E644" s="1" t="str">
        <f t="shared" si="43"/>
        <v>2023</v>
      </c>
      <c r="F644" t="s">
        <v>11</v>
      </c>
      <c r="G644" s="5">
        <v>1212.4643269769599</v>
      </c>
      <c r="H644" s="10">
        <v>7</v>
      </c>
      <c r="I644" s="2">
        <v>439.04494583006499</v>
      </c>
      <c r="J644" t="s">
        <v>14</v>
      </c>
    </row>
    <row r="645" spans="1:10" x14ac:dyDescent="0.25">
      <c r="A645" t="s">
        <v>143</v>
      </c>
      <c r="B645" s="1">
        <f t="shared" si="40"/>
        <v>45055</v>
      </c>
      <c r="C645" s="1" t="str">
        <f t="shared" si="41"/>
        <v>Tuesday</v>
      </c>
      <c r="D645" s="1" t="str">
        <f t="shared" si="42"/>
        <v>May</v>
      </c>
      <c r="E645" s="1" t="str">
        <f t="shared" si="43"/>
        <v>2023</v>
      </c>
      <c r="F645" t="s">
        <v>13</v>
      </c>
      <c r="G645" s="5">
        <v>169.96483937950001</v>
      </c>
      <c r="H645" s="10">
        <v>6</v>
      </c>
      <c r="I645" s="2">
        <v>145.69446393085499</v>
      </c>
      <c r="J645" t="s">
        <v>12</v>
      </c>
    </row>
    <row r="646" spans="1:10" x14ac:dyDescent="0.25">
      <c r="A646" t="s">
        <v>143</v>
      </c>
      <c r="B646" s="1">
        <f t="shared" si="40"/>
        <v>45055</v>
      </c>
      <c r="C646" s="1" t="str">
        <f t="shared" si="41"/>
        <v>Tuesday</v>
      </c>
      <c r="D646" s="1" t="str">
        <f t="shared" si="42"/>
        <v>May</v>
      </c>
      <c r="E646" s="1" t="str">
        <f t="shared" si="43"/>
        <v>2023</v>
      </c>
      <c r="F646" t="s">
        <v>16</v>
      </c>
      <c r="G646" s="5">
        <v>1384.62967628756</v>
      </c>
      <c r="H646" s="10">
        <v>8</v>
      </c>
      <c r="I646" s="2">
        <v>479.087113991531</v>
      </c>
      <c r="J646" t="s">
        <v>8</v>
      </c>
    </row>
    <row r="647" spans="1:10" x14ac:dyDescent="0.25">
      <c r="A647" t="s">
        <v>144</v>
      </c>
      <c r="B647" s="1">
        <f t="shared" si="40"/>
        <v>45056</v>
      </c>
      <c r="C647" s="1" t="str">
        <f t="shared" si="41"/>
        <v>Wednesday</v>
      </c>
      <c r="D647" s="1" t="str">
        <f t="shared" si="42"/>
        <v>May</v>
      </c>
      <c r="E647" s="1" t="str">
        <f t="shared" si="43"/>
        <v>2023</v>
      </c>
      <c r="F647" t="s">
        <v>7</v>
      </c>
      <c r="G647" s="5">
        <v>135.68147232999999</v>
      </c>
      <c r="H647" s="10">
        <v>12</v>
      </c>
      <c r="I647" s="2">
        <v>195.12160404069201</v>
      </c>
      <c r="J647" t="s">
        <v>8</v>
      </c>
    </row>
    <row r="648" spans="1:10" x14ac:dyDescent="0.25">
      <c r="A648" t="s">
        <v>144</v>
      </c>
      <c r="B648" s="1">
        <f t="shared" si="40"/>
        <v>45056</v>
      </c>
      <c r="C648" s="1" t="str">
        <f t="shared" si="41"/>
        <v>Wednesday</v>
      </c>
      <c r="D648" s="1" t="str">
        <f t="shared" si="42"/>
        <v>May</v>
      </c>
      <c r="E648" s="1" t="str">
        <f t="shared" si="43"/>
        <v>2023</v>
      </c>
      <c r="F648" t="s">
        <v>9</v>
      </c>
      <c r="G648" s="5">
        <v>944.163295674349</v>
      </c>
      <c r="H648" s="10">
        <v>5</v>
      </c>
      <c r="I648" s="2">
        <v>129.2568885</v>
      </c>
      <c r="J648" t="s">
        <v>8</v>
      </c>
    </row>
    <row r="649" spans="1:10" x14ac:dyDescent="0.25">
      <c r="A649" t="s">
        <v>144</v>
      </c>
      <c r="B649" s="1">
        <f t="shared" si="40"/>
        <v>45056</v>
      </c>
      <c r="C649" s="1" t="str">
        <f t="shared" si="41"/>
        <v>Wednesday</v>
      </c>
      <c r="D649" s="1" t="str">
        <f t="shared" si="42"/>
        <v>May</v>
      </c>
      <c r="E649" s="1" t="str">
        <f t="shared" si="43"/>
        <v>2023</v>
      </c>
      <c r="F649" t="s">
        <v>11</v>
      </c>
      <c r="G649" s="5">
        <v>769.39415778986995</v>
      </c>
      <c r="H649" s="10">
        <v>6</v>
      </c>
      <c r="I649" s="2">
        <v>272.12031438952698</v>
      </c>
      <c r="J649" t="s">
        <v>12</v>
      </c>
    </row>
    <row r="650" spans="1:10" x14ac:dyDescent="0.25">
      <c r="A650" t="s">
        <v>144</v>
      </c>
      <c r="B650" s="1">
        <f t="shared" si="40"/>
        <v>45056</v>
      </c>
      <c r="C650" s="1" t="str">
        <f t="shared" si="41"/>
        <v>Wednesday</v>
      </c>
      <c r="D650" s="1" t="str">
        <f t="shared" si="42"/>
        <v>May</v>
      </c>
      <c r="E650" s="1" t="str">
        <f t="shared" si="43"/>
        <v>2023</v>
      </c>
      <c r="F650" t="s">
        <v>13</v>
      </c>
      <c r="G650" s="5">
        <v>911.26946978279</v>
      </c>
      <c r="H650" s="10">
        <v>13</v>
      </c>
      <c r="I650" s="2">
        <v>166.39946641239999</v>
      </c>
      <c r="J650" t="s">
        <v>8</v>
      </c>
    </row>
    <row r="651" spans="1:10" x14ac:dyDescent="0.25">
      <c r="A651" t="s">
        <v>144</v>
      </c>
      <c r="B651" s="1">
        <f t="shared" si="40"/>
        <v>45056</v>
      </c>
      <c r="C651" s="1" t="str">
        <f t="shared" si="41"/>
        <v>Wednesday</v>
      </c>
      <c r="D651" s="1" t="str">
        <f t="shared" si="42"/>
        <v>May</v>
      </c>
      <c r="E651" s="1" t="str">
        <f t="shared" si="43"/>
        <v>2023</v>
      </c>
      <c r="F651" t="s">
        <v>16</v>
      </c>
      <c r="G651" s="5">
        <v>1325.8182394949999</v>
      </c>
      <c r="H651" s="10">
        <v>6</v>
      </c>
      <c r="I651" s="2">
        <v>446.14915082788002</v>
      </c>
      <c r="J651" t="s">
        <v>14</v>
      </c>
    </row>
    <row r="652" spans="1:10" x14ac:dyDescent="0.25">
      <c r="A652" t="s">
        <v>145</v>
      </c>
      <c r="B652" s="1">
        <f t="shared" si="40"/>
        <v>45057</v>
      </c>
      <c r="C652" s="1" t="str">
        <f t="shared" si="41"/>
        <v>Thursday</v>
      </c>
      <c r="D652" s="1" t="str">
        <f t="shared" si="42"/>
        <v>May</v>
      </c>
      <c r="E652" s="1" t="str">
        <f t="shared" si="43"/>
        <v>2023</v>
      </c>
      <c r="F652" t="s">
        <v>7</v>
      </c>
      <c r="G652" s="5">
        <v>831.43439357709997</v>
      </c>
      <c r="H652" s="10">
        <v>3</v>
      </c>
      <c r="I652" s="2">
        <v>297.045452910253</v>
      </c>
      <c r="J652" t="s">
        <v>10</v>
      </c>
    </row>
    <row r="653" spans="1:10" x14ac:dyDescent="0.25">
      <c r="A653" t="s">
        <v>145</v>
      </c>
      <c r="B653" s="1">
        <f t="shared" si="40"/>
        <v>45057</v>
      </c>
      <c r="C653" s="1" t="str">
        <f t="shared" si="41"/>
        <v>Thursday</v>
      </c>
      <c r="D653" s="1" t="str">
        <f t="shared" si="42"/>
        <v>May</v>
      </c>
      <c r="E653" s="1" t="str">
        <f t="shared" si="43"/>
        <v>2023</v>
      </c>
      <c r="F653" t="s">
        <v>9</v>
      </c>
      <c r="G653" s="5">
        <v>61.418434121331003</v>
      </c>
      <c r="H653" s="10">
        <v>9</v>
      </c>
      <c r="I653" s="2">
        <v>137.90258034729601</v>
      </c>
      <c r="J653" t="s">
        <v>14</v>
      </c>
    </row>
    <row r="654" spans="1:10" x14ac:dyDescent="0.25">
      <c r="A654" t="s">
        <v>145</v>
      </c>
      <c r="B654" s="1">
        <f t="shared" si="40"/>
        <v>45057</v>
      </c>
      <c r="C654" s="1" t="str">
        <f t="shared" si="41"/>
        <v>Thursday</v>
      </c>
      <c r="D654" s="1" t="str">
        <f t="shared" si="42"/>
        <v>May</v>
      </c>
      <c r="E654" s="1" t="str">
        <f t="shared" si="43"/>
        <v>2023</v>
      </c>
      <c r="F654" t="s">
        <v>11</v>
      </c>
      <c r="G654" s="5">
        <v>918.27168962671203</v>
      </c>
      <c r="H654" s="10">
        <v>1</v>
      </c>
      <c r="I654" s="2">
        <v>236.67881604099699</v>
      </c>
      <c r="J654" t="s">
        <v>12</v>
      </c>
    </row>
    <row r="655" spans="1:10" x14ac:dyDescent="0.25">
      <c r="A655" t="s">
        <v>145</v>
      </c>
      <c r="B655" s="1">
        <f t="shared" si="40"/>
        <v>45057</v>
      </c>
      <c r="C655" s="1" t="str">
        <f t="shared" si="41"/>
        <v>Thursday</v>
      </c>
      <c r="D655" s="1" t="str">
        <f t="shared" si="42"/>
        <v>May</v>
      </c>
      <c r="E655" s="1" t="str">
        <f t="shared" si="43"/>
        <v>2023</v>
      </c>
      <c r="F655" t="s">
        <v>13</v>
      </c>
      <c r="G655" s="5">
        <v>977.52674663493997</v>
      </c>
      <c r="H655" s="10">
        <v>5</v>
      </c>
      <c r="I655" s="2">
        <v>287.121260655502</v>
      </c>
      <c r="J655" t="s">
        <v>8</v>
      </c>
    </row>
    <row r="656" spans="1:10" x14ac:dyDescent="0.25">
      <c r="A656" t="s">
        <v>145</v>
      </c>
      <c r="B656" s="1">
        <f t="shared" si="40"/>
        <v>45057</v>
      </c>
      <c r="C656" s="1" t="str">
        <f t="shared" si="41"/>
        <v>Thursday</v>
      </c>
      <c r="D656" s="1" t="str">
        <f t="shared" si="42"/>
        <v>May</v>
      </c>
      <c r="E656" s="1" t="str">
        <f t="shared" si="43"/>
        <v>2023</v>
      </c>
      <c r="F656" t="s">
        <v>16</v>
      </c>
      <c r="G656" s="5">
        <v>97.589714744277003</v>
      </c>
      <c r="H656" s="10">
        <v>19</v>
      </c>
      <c r="I656" s="2">
        <v>97.687809020550105</v>
      </c>
      <c r="J656" t="s">
        <v>14</v>
      </c>
    </row>
    <row r="657" spans="1:10" x14ac:dyDescent="0.25">
      <c r="A657" t="s">
        <v>146</v>
      </c>
      <c r="B657" s="1">
        <f t="shared" si="40"/>
        <v>45058</v>
      </c>
      <c r="C657" s="1" t="str">
        <f t="shared" si="41"/>
        <v>Friday</v>
      </c>
      <c r="D657" s="1" t="str">
        <f t="shared" si="42"/>
        <v>May</v>
      </c>
      <c r="E657" s="1" t="str">
        <f t="shared" si="43"/>
        <v>2023</v>
      </c>
      <c r="F657" t="s">
        <v>7</v>
      </c>
      <c r="G657" s="5">
        <v>1233.8981596880001</v>
      </c>
      <c r="H657" s="10">
        <v>18</v>
      </c>
      <c r="I657" s="2">
        <v>359.15159518923298</v>
      </c>
      <c r="J657" t="s">
        <v>10</v>
      </c>
    </row>
    <row r="658" spans="1:10" x14ac:dyDescent="0.25">
      <c r="A658" t="s">
        <v>146</v>
      </c>
      <c r="B658" s="1">
        <f t="shared" si="40"/>
        <v>45058</v>
      </c>
      <c r="C658" s="1" t="str">
        <f t="shared" si="41"/>
        <v>Friday</v>
      </c>
      <c r="D658" s="1" t="str">
        <f t="shared" si="42"/>
        <v>May</v>
      </c>
      <c r="E658" s="1" t="str">
        <f t="shared" si="43"/>
        <v>2023</v>
      </c>
      <c r="F658" t="s">
        <v>9</v>
      </c>
      <c r="G658" s="5">
        <v>1382.929964549</v>
      </c>
      <c r="H658" s="10">
        <v>11</v>
      </c>
      <c r="I658" s="2">
        <v>267.24858232412203</v>
      </c>
      <c r="J658" t="s">
        <v>12</v>
      </c>
    </row>
    <row r="659" spans="1:10" x14ac:dyDescent="0.25">
      <c r="A659" t="s">
        <v>146</v>
      </c>
      <c r="B659" s="1">
        <f t="shared" si="40"/>
        <v>45058</v>
      </c>
      <c r="C659" s="1" t="str">
        <f t="shared" si="41"/>
        <v>Friday</v>
      </c>
      <c r="D659" s="1" t="str">
        <f t="shared" si="42"/>
        <v>May</v>
      </c>
      <c r="E659" s="1" t="str">
        <f t="shared" si="43"/>
        <v>2023</v>
      </c>
      <c r="F659" t="s">
        <v>11</v>
      </c>
      <c r="G659" s="5">
        <v>85.519635698949998</v>
      </c>
      <c r="H659" s="10">
        <v>5</v>
      </c>
      <c r="I659" s="2">
        <v>220.56151762381899</v>
      </c>
      <c r="J659" t="s">
        <v>14</v>
      </c>
    </row>
    <row r="660" spans="1:10" x14ac:dyDescent="0.25">
      <c r="A660" t="s">
        <v>146</v>
      </c>
      <c r="B660" s="1">
        <f t="shared" si="40"/>
        <v>45058</v>
      </c>
      <c r="C660" s="1" t="str">
        <f t="shared" si="41"/>
        <v>Friday</v>
      </c>
      <c r="D660" s="1" t="str">
        <f t="shared" si="42"/>
        <v>May</v>
      </c>
      <c r="E660" s="1" t="str">
        <f t="shared" si="43"/>
        <v>2023</v>
      </c>
      <c r="F660" t="s">
        <v>13</v>
      </c>
      <c r="G660" s="5">
        <v>1567.4163548650999</v>
      </c>
      <c r="H660" s="10">
        <v>13</v>
      </c>
      <c r="I660" s="2">
        <v>613.8121208</v>
      </c>
      <c r="J660" t="s">
        <v>12</v>
      </c>
    </row>
    <row r="661" spans="1:10" x14ac:dyDescent="0.25">
      <c r="A661" t="s">
        <v>146</v>
      </c>
      <c r="B661" s="1">
        <f t="shared" si="40"/>
        <v>45058</v>
      </c>
      <c r="C661" s="1" t="str">
        <f t="shared" si="41"/>
        <v>Friday</v>
      </c>
      <c r="D661" s="1" t="str">
        <f t="shared" si="42"/>
        <v>May</v>
      </c>
      <c r="E661" s="1" t="str">
        <f t="shared" si="43"/>
        <v>2023</v>
      </c>
      <c r="F661" t="s">
        <v>16</v>
      </c>
      <c r="G661" s="5">
        <v>861.37119444580003</v>
      </c>
      <c r="H661" s="10">
        <v>3</v>
      </c>
      <c r="I661" s="2">
        <v>335.25016705919199</v>
      </c>
      <c r="J661" t="s">
        <v>14</v>
      </c>
    </row>
    <row r="662" spans="1:10" x14ac:dyDescent="0.25">
      <c r="A662" t="s">
        <v>147</v>
      </c>
      <c r="B662" s="1">
        <f t="shared" si="40"/>
        <v>45059</v>
      </c>
      <c r="C662" s="1" t="str">
        <f t="shared" si="41"/>
        <v>Saturday</v>
      </c>
      <c r="D662" s="1" t="str">
        <f t="shared" si="42"/>
        <v>May</v>
      </c>
      <c r="E662" s="1" t="str">
        <f t="shared" si="43"/>
        <v>2023</v>
      </c>
      <c r="F662" t="s">
        <v>7</v>
      </c>
      <c r="G662" s="5">
        <v>965.71361331943399</v>
      </c>
      <c r="H662" s="10">
        <v>11</v>
      </c>
      <c r="I662" s="2">
        <v>208.97659009245999</v>
      </c>
      <c r="J662" t="s">
        <v>12</v>
      </c>
    </row>
    <row r="663" spans="1:10" x14ac:dyDescent="0.25">
      <c r="A663" t="s">
        <v>147</v>
      </c>
      <c r="B663" s="1">
        <f t="shared" si="40"/>
        <v>45059</v>
      </c>
      <c r="C663" s="1" t="str">
        <f t="shared" si="41"/>
        <v>Saturday</v>
      </c>
      <c r="D663" s="1" t="str">
        <f t="shared" si="42"/>
        <v>May</v>
      </c>
      <c r="E663" s="1" t="str">
        <f t="shared" si="43"/>
        <v>2023</v>
      </c>
      <c r="F663" t="s">
        <v>9</v>
      </c>
      <c r="G663" s="5">
        <v>952.81772439729002</v>
      </c>
      <c r="H663" s="10">
        <v>19</v>
      </c>
      <c r="I663" s="2">
        <v>101.95611592613599</v>
      </c>
      <c r="J663" t="s">
        <v>10</v>
      </c>
    </row>
    <row r="664" spans="1:10" x14ac:dyDescent="0.25">
      <c r="A664" t="s">
        <v>147</v>
      </c>
      <c r="B664" s="1">
        <f t="shared" si="40"/>
        <v>45059</v>
      </c>
      <c r="C664" s="1" t="str">
        <f t="shared" si="41"/>
        <v>Saturday</v>
      </c>
      <c r="D664" s="1" t="str">
        <f t="shared" si="42"/>
        <v>May</v>
      </c>
      <c r="E664" s="1" t="str">
        <f t="shared" si="43"/>
        <v>2023</v>
      </c>
      <c r="F664" t="s">
        <v>11</v>
      </c>
      <c r="G664" s="5">
        <v>987.82845197644701</v>
      </c>
      <c r="H664" s="10">
        <v>10</v>
      </c>
      <c r="I664" s="2">
        <v>365.52117839640499</v>
      </c>
      <c r="J664" t="s">
        <v>8</v>
      </c>
    </row>
    <row r="665" spans="1:10" x14ac:dyDescent="0.25">
      <c r="A665" t="s">
        <v>147</v>
      </c>
      <c r="B665" s="1">
        <f t="shared" si="40"/>
        <v>45059</v>
      </c>
      <c r="C665" s="1" t="str">
        <f t="shared" si="41"/>
        <v>Saturday</v>
      </c>
      <c r="D665" s="1" t="str">
        <f t="shared" si="42"/>
        <v>May</v>
      </c>
      <c r="E665" s="1" t="str">
        <f t="shared" si="43"/>
        <v>2023</v>
      </c>
      <c r="F665" t="s">
        <v>13</v>
      </c>
      <c r="G665" s="5">
        <v>646.4173158625</v>
      </c>
      <c r="H665" s="10">
        <v>5</v>
      </c>
      <c r="I665" s="2">
        <v>250.012194382638</v>
      </c>
      <c r="J665" t="s">
        <v>8</v>
      </c>
    </row>
    <row r="666" spans="1:10" x14ac:dyDescent="0.25">
      <c r="A666" t="s">
        <v>147</v>
      </c>
      <c r="B666" s="1">
        <f t="shared" si="40"/>
        <v>45059</v>
      </c>
      <c r="C666" s="1" t="str">
        <f t="shared" si="41"/>
        <v>Saturday</v>
      </c>
      <c r="D666" s="1" t="str">
        <f t="shared" si="42"/>
        <v>May</v>
      </c>
      <c r="E666" s="1" t="str">
        <f t="shared" si="43"/>
        <v>2023</v>
      </c>
      <c r="F666" t="s">
        <v>16</v>
      </c>
      <c r="G666" s="5">
        <v>212.86352933521999</v>
      </c>
      <c r="H666" s="10">
        <v>18</v>
      </c>
      <c r="I666" s="2">
        <v>74.079106830114398</v>
      </c>
      <c r="J666" t="s">
        <v>8</v>
      </c>
    </row>
    <row r="667" spans="1:10" x14ac:dyDescent="0.25">
      <c r="A667" t="s">
        <v>148</v>
      </c>
      <c r="B667" s="1">
        <f t="shared" si="40"/>
        <v>45060</v>
      </c>
      <c r="C667" s="1" t="str">
        <f t="shared" si="41"/>
        <v>Sunday</v>
      </c>
      <c r="D667" s="1" t="str">
        <f t="shared" si="42"/>
        <v>May</v>
      </c>
      <c r="E667" s="1" t="str">
        <f t="shared" si="43"/>
        <v>2023</v>
      </c>
      <c r="F667" t="s">
        <v>7</v>
      </c>
      <c r="G667" s="5">
        <v>633.79898595426005</v>
      </c>
      <c r="H667" s="10">
        <v>13</v>
      </c>
      <c r="I667" s="2">
        <v>178.771371460203</v>
      </c>
      <c r="J667" t="s">
        <v>12</v>
      </c>
    </row>
    <row r="668" spans="1:10" x14ac:dyDescent="0.25">
      <c r="A668" t="s">
        <v>148</v>
      </c>
      <c r="B668" s="1">
        <f t="shared" si="40"/>
        <v>45060</v>
      </c>
      <c r="C668" s="1" t="str">
        <f t="shared" si="41"/>
        <v>Sunday</v>
      </c>
      <c r="D668" s="1" t="str">
        <f t="shared" si="42"/>
        <v>May</v>
      </c>
      <c r="E668" s="1" t="str">
        <f t="shared" si="43"/>
        <v>2023</v>
      </c>
      <c r="F668" t="s">
        <v>9</v>
      </c>
      <c r="G668" s="5">
        <v>538.1442184</v>
      </c>
      <c r="H668" s="10">
        <v>16</v>
      </c>
      <c r="I668" s="2">
        <v>178.682397943528</v>
      </c>
      <c r="J668" t="s">
        <v>8</v>
      </c>
    </row>
    <row r="669" spans="1:10" x14ac:dyDescent="0.25">
      <c r="A669" t="s">
        <v>148</v>
      </c>
      <c r="B669" s="1">
        <f t="shared" si="40"/>
        <v>45060</v>
      </c>
      <c r="C669" s="1" t="str">
        <f t="shared" si="41"/>
        <v>Sunday</v>
      </c>
      <c r="D669" s="1" t="str">
        <f t="shared" si="42"/>
        <v>May</v>
      </c>
      <c r="E669" s="1" t="str">
        <f t="shared" si="43"/>
        <v>2023</v>
      </c>
      <c r="F669" t="s">
        <v>11</v>
      </c>
      <c r="G669" s="5">
        <v>554.11689114910996</v>
      </c>
      <c r="H669" s="10">
        <v>5</v>
      </c>
      <c r="I669" s="2">
        <v>134.85184507182601</v>
      </c>
      <c r="J669" t="s">
        <v>8</v>
      </c>
    </row>
    <row r="670" spans="1:10" x14ac:dyDescent="0.25">
      <c r="A670" t="s">
        <v>148</v>
      </c>
      <c r="B670" s="1">
        <f t="shared" si="40"/>
        <v>45060</v>
      </c>
      <c r="C670" s="1" t="str">
        <f t="shared" si="41"/>
        <v>Sunday</v>
      </c>
      <c r="D670" s="1" t="str">
        <f t="shared" si="42"/>
        <v>May</v>
      </c>
      <c r="E670" s="1" t="str">
        <f t="shared" si="43"/>
        <v>2023</v>
      </c>
      <c r="F670" t="s">
        <v>13</v>
      </c>
      <c r="G670" s="5">
        <v>1471.8443922751501</v>
      </c>
      <c r="H670" s="10">
        <v>19</v>
      </c>
      <c r="I670" s="2">
        <v>304.45939342319298</v>
      </c>
      <c r="J670" t="s">
        <v>12</v>
      </c>
    </row>
    <row r="671" spans="1:10" x14ac:dyDescent="0.25">
      <c r="A671" t="s">
        <v>148</v>
      </c>
      <c r="B671" s="1">
        <f t="shared" si="40"/>
        <v>45060</v>
      </c>
      <c r="C671" s="1" t="str">
        <f t="shared" si="41"/>
        <v>Sunday</v>
      </c>
      <c r="D671" s="1" t="str">
        <f t="shared" si="42"/>
        <v>May</v>
      </c>
      <c r="E671" s="1" t="str">
        <f t="shared" si="43"/>
        <v>2023</v>
      </c>
      <c r="F671" t="s">
        <v>16</v>
      </c>
      <c r="G671" s="5">
        <v>175.13572231833001</v>
      </c>
      <c r="H671" s="10">
        <v>13</v>
      </c>
      <c r="I671" s="2">
        <v>170.28768400864999</v>
      </c>
      <c r="J671" t="s">
        <v>8</v>
      </c>
    </row>
    <row r="672" spans="1:10" x14ac:dyDescent="0.25">
      <c r="A672" t="s">
        <v>149</v>
      </c>
      <c r="B672" s="1">
        <f t="shared" si="40"/>
        <v>45061</v>
      </c>
      <c r="C672" s="1" t="str">
        <f t="shared" si="41"/>
        <v>Monday</v>
      </c>
      <c r="D672" s="1" t="str">
        <f t="shared" si="42"/>
        <v>May</v>
      </c>
      <c r="E672" s="1" t="str">
        <f t="shared" si="43"/>
        <v>2023</v>
      </c>
      <c r="F672" t="s">
        <v>7</v>
      </c>
      <c r="G672" s="5">
        <v>169.9881383993</v>
      </c>
      <c r="H672" s="10">
        <v>12</v>
      </c>
      <c r="I672" s="2">
        <v>562.21840579272202</v>
      </c>
      <c r="J672" t="s">
        <v>14</v>
      </c>
    </row>
    <row r="673" spans="1:10" x14ac:dyDescent="0.25">
      <c r="A673" t="s">
        <v>149</v>
      </c>
      <c r="B673" s="1">
        <f t="shared" si="40"/>
        <v>45061</v>
      </c>
      <c r="C673" s="1" t="str">
        <f t="shared" si="41"/>
        <v>Monday</v>
      </c>
      <c r="D673" s="1" t="str">
        <f t="shared" si="42"/>
        <v>May</v>
      </c>
      <c r="E673" s="1" t="str">
        <f t="shared" si="43"/>
        <v>2023</v>
      </c>
      <c r="F673" t="s">
        <v>9</v>
      </c>
      <c r="G673" s="5">
        <v>125.668566634</v>
      </c>
      <c r="H673" s="10">
        <v>19</v>
      </c>
      <c r="I673" s="2">
        <v>153.40258432920899</v>
      </c>
      <c r="J673" t="s">
        <v>10</v>
      </c>
    </row>
    <row r="674" spans="1:10" x14ac:dyDescent="0.25">
      <c r="A674" t="s">
        <v>149</v>
      </c>
      <c r="B674" s="1">
        <f t="shared" si="40"/>
        <v>45061</v>
      </c>
      <c r="C674" s="1" t="str">
        <f t="shared" si="41"/>
        <v>Monday</v>
      </c>
      <c r="D674" s="1" t="str">
        <f t="shared" si="42"/>
        <v>May</v>
      </c>
      <c r="E674" s="1" t="str">
        <f t="shared" si="43"/>
        <v>2023</v>
      </c>
      <c r="F674" t="s">
        <v>11</v>
      </c>
      <c r="G674" s="5">
        <v>948.44114611199996</v>
      </c>
      <c r="H674" s="10">
        <v>15</v>
      </c>
      <c r="I674" s="2">
        <v>327.23786377171501</v>
      </c>
      <c r="J674" t="s">
        <v>14</v>
      </c>
    </row>
    <row r="675" spans="1:10" x14ac:dyDescent="0.25">
      <c r="A675" t="s">
        <v>149</v>
      </c>
      <c r="B675" s="1">
        <f t="shared" si="40"/>
        <v>45061</v>
      </c>
      <c r="C675" s="1" t="str">
        <f t="shared" si="41"/>
        <v>Monday</v>
      </c>
      <c r="D675" s="1" t="str">
        <f t="shared" si="42"/>
        <v>May</v>
      </c>
      <c r="E675" s="1" t="str">
        <f t="shared" si="43"/>
        <v>2023</v>
      </c>
      <c r="F675" t="s">
        <v>13</v>
      </c>
      <c r="G675" s="5">
        <v>667.5564642759</v>
      </c>
      <c r="H675" s="10">
        <v>19</v>
      </c>
      <c r="I675" s="2">
        <v>223.44021323302499</v>
      </c>
      <c r="J675" t="s">
        <v>10</v>
      </c>
    </row>
    <row r="676" spans="1:10" x14ac:dyDescent="0.25">
      <c r="A676" t="s">
        <v>149</v>
      </c>
      <c r="B676" s="1">
        <f t="shared" si="40"/>
        <v>45061</v>
      </c>
      <c r="C676" s="1" t="str">
        <f t="shared" si="41"/>
        <v>Monday</v>
      </c>
      <c r="D676" s="1" t="str">
        <f t="shared" si="42"/>
        <v>May</v>
      </c>
      <c r="E676" s="1" t="str">
        <f t="shared" si="43"/>
        <v>2023</v>
      </c>
      <c r="F676" t="s">
        <v>16</v>
      </c>
      <c r="G676" s="5">
        <v>187.55852859999999</v>
      </c>
      <c r="H676" s="10">
        <v>19</v>
      </c>
      <c r="I676" s="2">
        <v>174.437462791819</v>
      </c>
      <c r="J676" t="s">
        <v>8</v>
      </c>
    </row>
    <row r="677" spans="1:10" x14ac:dyDescent="0.25">
      <c r="A677" t="s">
        <v>150</v>
      </c>
      <c r="B677" s="1">
        <f t="shared" si="40"/>
        <v>45062</v>
      </c>
      <c r="C677" s="1" t="str">
        <f t="shared" si="41"/>
        <v>Tuesday</v>
      </c>
      <c r="D677" s="1" t="str">
        <f t="shared" si="42"/>
        <v>May</v>
      </c>
      <c r="E677" s="1" t="str">
        <f t="shared" si="43"/>
        <v>2023</v>
      </c>
      <c r="F677" t="s">
        <v>7</v>
      </c>
      <c r="G677" s="5">
        <v>1269.8394913444699</v>
      </c>
      <c r="H677" s="10">
        <v>8</v>
      </c>
      <c r="I677" s="2">
        <v>142.01613108690799</v>
      </c>
      <c r="J677" t="s">
        <v>8</v>
      </c>
    </row>
    <row r="678" spans="1:10" x14ac:dyDescent="0.25">
      <c r="A678" t="s">
        <v>150</v>
      </c>
      <c r="B678" s="1">
        <f t="shared" si="40"/>
        <v>45062</v>
      </c>
      <c r="C678" s="1" t="str">
        <f t="shared" si="41"/>
        <v>Tuesday</v>
      </c>
      <c r="D678" s="1" t="str">
        <f t="shared" si="42"/>
        <v>May</v>
      </c>
      <c r="E678" s="1" t="str">
        <f t="shared" si="43"/>
        <v>2023</v>
      </c>
      <c r="F678" t="s">
        <v>9</v>
      </c>
      <c r="G678" s="5">
        <v>1157.1286523369999</v>
      </c>
      <c r="H678" s="10">
        <v>2</v>
      </c>
      <c r="I678" s="2">
        <v>366.39646798278</v>
      </c>
      <c r="J678" t="s">
        <v>8</v>
      </c>
    </row>
    <row r="679" spans="1:10" x14ac:dyDescent="0.25">
      <c r="A679" t="s">
        <v>150</v>
      </c>
      <c r="B679" s="1">
        <f t="shared" si="40"/>
        <v>45062</v>
      </c>
      <c r="C679" s="1" t="str">
        <f t="shared" si="41"/>
        <v>Tuesday</v>
      </c>
      <c r="D679" s="1" t="str">
        <f t="shared" si="42"/>
        <v>May</v>
      </c>
      <c r="E679" s="1" t="str">
        <f t="shared" si="43"/>
        <v>2023</v>
      </c>
      <c r="F679" t="s">
        <v>11</v>
      </c>
      <c r="G679" s="5">
        <v>181.42644814280001</v>
      </c>
      <c r="H679" s="10">
        <v>15</v>
      </c>
      <c r="I679" s="2">
        <v>390.38494230684302</v>
      </c>
      <c r="J679" t="s">
        <v>8</v>
      </c>
    </row>
    <row r="680" spans="1:10" x14ac:dyDescent="0.25">
      <c r="A680" t="s">
        <v>150</v>
      </c>
      <c r="B680" s="1">
        <f t="shared" si="40"/>
        <v>45062</v>
      </c>
      <c r="C680" s="1" t="str">
        <f t="shared" si="41"/>
        <v>Tuesday</v>
      </c>
      <c r="D680" s="1" t="str">
        <f t="shared" si="42"/>
        <v>May</v>
      </c>
      <c r="E680" s="1" t="str">
        <f t="shared" si="43"/>
        <v>2023</v>
      </c>
      <c r="F680" t="s">
        <v>13</v>
      </c>
      <c r="G680" s="5">
        <v>198.39672966929999</v>
      </c>
      <c r="H680" s="10">
        <v>5</v>
      </c>
      <c r="I680" s="2">
        <v>371.42641214847299</v>
      </c>
      <c r="J680" t="s">
        <v>14</v>
      </c>
    </row>
    <row r="681" spans="1:10" x14ac:dyDescent="0.25">
      <c r="A681" t="s">
        <v>150</v>
      </c>
      <c r="B681" s="1">
        <f t="shared" si="40"/>
        <v>45062</v>
      </c>
      <c r="C681" s="1" t="str">
        <f t="shared" si="41"/>
        <v>Tuesday</v>
      </c>
      <c r="D681" s="1" t="str">
        <f t="shared" si="42"/>
        <v>May</v>
      </c>
      <c r="E681" s="1" t="str">
        <f t="shared" si="43"/>
        <v>2023</v>
      </c>
      <c r="F681" t="s">
        <v>16</v>
      </c>
      <c r="G681" s="5">
        <v>1488.72881478</v>
      </c>
      <c r="H681" s="10">
        <v>9</v>
      </c>
      <c r="I681" s="2">
        <v>540.58847055965805</v>
      </c>
      <c r="J681" t="s">
        <v>14</v>
      </c>
    </row>
    <row r="682" spans="1:10" x14ac:dyDescent="0.25">
      <c r="A682" t="s">
        <v>151</v>
      </c>
      <c r="B682" s="1">
        <f t="shared" si="40"/>
        <v>45063</v>
      </c>
      <c r="C682" s="1" t="str">
        <f t="shared" si="41"/>
        <v>Wednesday</v>
      </c>
      <c r="D682" s="1" t="str">
        <f t="shared" si="42"/>
        <v>May</v>
      </c>
      <c r="E682" s="1" t="str">
        <f t="shared" si="43"/>
        <v>2023</v>
      </c>
      <c r="F682" t="s">
        <v>7</v>
      </c>
      <c r="G682" s="5">
        <v>727.19569178159998</v>
      </c>
      <c r="H682" s="10">
        <v>6</v>
      </c>
      <c r="I682" s="2">
        <v>201.15506009989701</v>
      </c>
      <c r="J682" t="s">
        <v>12</v>
      </c>
    </row>
    <row r="683" spans="1:10" x14ac:dyDescent="0.25">
      <c r="A683" t="s">
        <v>151</v>
      </c>
      <c r="B683" s="1">
        <f t="shared" si="40"/>
        <v>45063</v>
      </c>
      <c r="C683" s="1" t="str">
        <f t="shared" si="41"/>
        <v>Wednesday</v>
      </c>
      <c r="D683" s="1" t="str">
        <f t="shared" si="42"/>
        <v>May</v>
      </c>
      <c r="E683" s="1" t="str">
        <f t="shared" si="43"/>
        <v>2023</v>
      </c>
      <c r="F683" t="s">
        <v>9</v>
      </c>
      <c r="G683" s="5">
        <v>18.662716944700001</v>
      </c>
      <c r="H683" s="10">
        <v>4</v>
      </c>
      <c r="I683" s="2">
        <v>187.344036966922</v>
      </c>
      <c r="J683" t="s">
        <v>8</v>
      </c>
    </row>
    <row r="684" spans="1:10" x14ac:dyDescent="0.25">
      <c r="A684" t="s">
        <v>151</v>
      </c>
      <c r="B684" s="1">
        <f t="shared" si="40"/>
        <v>45063</v>
      </c>
      <c r="C684" s="1" t="str">
        <f t="shared" si="41"/>
        <v>Wednesday</v>
      </c>
      <c r="D684" s="1" t="str">
        <f t="shared" si="42"/>
        <v>May</v>
      </c>
      <c r="E684" s="1" t="str">
        <f t="shared" si="43"/>
        <v>2023</v>
      </c>
      <c r="F684" t="s">
        <v>11</v>
      </c>
      <c r="G684" s="5">
        <v>455.53886687732</v>
      </c>
      <c r="H684" s="10">
        <v>11</v>
      </c>
      <c r="I684" s="2">
        <v>171.10940434174401</v>
      </c>
      <c r="J684" t="s">
        <v>10</v>
      </c>
    </row>
    <row r="685" spans="1:10" x14ac:dyDescent="0.25">
      <c r="A685" t="s">
        <v>151</v>
      </c>
      <c r="B685" s="1">
        <f t="shared" si="40"/>
        <v>45063</v>
      </c>
      <c r="C685" s="1" t="str">
        <f t="shared" si="41"/>
        <v>Wednesday</v>
      </c>
      <c r="D685" s="1" t="str">
        <f t="shared" si="42"/>
        <v>May</v>
      </c>
      <c r="E685" s="1" t="str">
        <f t="shared" si="43"/>
        <v>2023</v>
      </c>
      <c r="F685" t="s">
        <v>13</v>
      </c>
      <c r="G685" s="5">
        <v>158.91679776699999</v>
      </c>
      <c r="H685" s="10">
        <v>18</v>
      </c>
      <c r="I685" s="2">
        <v>502.28088169000398</v>
      </c>
      <c r="J685" t="s">
        <v>8</v>
      </c>
    </row>
    <row r="686" spans="1:10" x14ac:dyDescent="0.25">
      <c r="A686" t="s">
        <v>151</v>
      </c>
      <c r="B686" s="1">
        <f t="shared" si="40"/>
        <v>45063</v>
      </c>
      <c r="C686" s="1" t="str">
        <f t="shared" si="41"/>
        <v>Wednesday</v>
      </c>
      <c r="D686" s="1" t="str">
        <f t="shared" si="42"/>
        <v>May</v>
      </c>
      <c r="E686" s="1" t="str">
        <f t="shared" si="43"/>
        <v>2023</v>
      </c>
      <c r="F686" t="s">
        <v>16</v>
      </c>
      <c r="G686" s="5">
        <v>983.53179980000004</v>
      </c>
      <c r="H686" s="10">
        <v>19</v>
      </c>
      <c r="I686" s="2">
        <v>276.01354067308199</v>
      </c>
      <c r="J686" t="s">
        <v>10</v>
      </c>
    </row>
    <row r="687" spans="1:10" x14ac:dyDescent="0.25">
      <c r="A687" t="s">
        <v>152</v>
      </c>
      <c r="B687" s="1">
        <f t="shared" si="40"/>
        <v>45064</v>
      </c>
      <c r="C687" s="1" t="str">
        <f t="shared" si="41"/>
        <v>Thursday</v>
      </c>
      <c r="D687" s="1" t="str">
        <f t="shared" si="42"/>
        <v>May</v>
      </c>
      <c r="E687" s="1" t="str">
        <f t="shared" si="43"/>
        <v>2023</v>
      </c>
      <c r="F687" t="s">
        <v>7</v>
      </c>
      <c r="G687" s="5">
        <v>185.66622245728999</v>
      </c>
      <c r="H687" s="10">
        <v>4</v>
      </c>
      <c r="I687" s="2">
        <v>371.27266355303499</v>
      </c>
      <c r="J687" t="s">
        <v>10</v>
      </c>
    </row>
    <row r="688" spans="1:10" x14ac:dyDescent="0.25">
      <c r="A688" t="s">
        <v>152</v>
      </c>
      <c r="B688" s="1">
        <f t="shared" si="40"/>
        <v>45064</v>
      </c>
      <c r="C688" s="1" t="str">
        <f t="shared" si="41"/>
        <v>Thursday</v>
      </c>
      <c r="D688" s="1" t="str">
        <f t="shared" si="42"/>
        <v>May</v>
      </c>
      <c r="E688" s="1" t="str">
        <f t="shared" si="43"/>
        <v>2023</v>
      </c>
      <c r="F688" t="s">
        <v>9</v>
      </c>
      <c r="G688" s="5">
        <v>94.798473978199993</v>
      </c>
      <c r="H688" s="10">
        <v>13</v>
      </c>
      <c r="I688" s="2">
        <v>218.02529058255601</v>
      </c>
      <c r="J688" t="s">
        <v>8</v>
      </c>
    </row>
    <row r="689" spans="1:10" x14ac:dyDescent="0.25">
      <c r="A689" t="s">
        <v>152</v>
      </c>
      <c r="B689" s="1">
        <f t="shared" si="40"/>
        <v>45064</v>
      </c>
      <c r="C689" s="1" t="str">
        <f t="shared" si="41"/>
        <v>Thursday</v>
      </c>
      <c r="D689" s="1" t="str">
        <f t="shared" si="42"/>
        <v>May</v>
      </c>
      <c r="E689" s="1" t="str">
        <f t="shared" si="43"/>
        <v>2023</v>
      </c>
      <c r="F689" t="s">
        <v>11</v>
      </c>
      <c r="G689" s="5">
        <v>954.61814939459998</v>
      </c>
      <c r="H689" s="10">
        <v>1</v>
      </c>
      <c r="I689" s="2">
        <v>351.22980113453599</v>
      </c>
      <c r="J689" t="s">
        <v>10</v>
      </c>
    </row>
    <row r="690" spans="1:10" x14ac:dyDescent="0.25">
      <c r="A690" t="s">
        <v>152</v>
      </c>
      <c r="B690" s="1">
        <f t="shared" si="40"/>
        <v>45064</v>
      </c>
      <c r="C690" s="1" t="str">
        <f t="shared" si="41"/>
        <v>Thursday</v>
      </c>
      <c r="D690" s="1" t="str">
        <f t="shared" si="42"/>
        <v>May</v>
      </c>
      <c r="E690" s="1" t="str">
        <f t="shared" si="43"/>
        <v>2023</v>
      </c>
      <c r="F690" t="s">
        <v>13</v>
      </c>
      <c r="G690" s="5">
        <v>669.31593441550001</v>
      </c>
      <c r="H690" s="10">
        <v>5</v>
      </c>
      <c r="I690" s="2">
        <v>169.423765101165</v>
      </c>
      <c r="J690" t="s">
        <v>12</v>
      </c>
    </row>
    <row r="691" spans="1:10" x14ac:dyDescent="0.25">
      <c r="A691" t="s">
        <v>152</v>
      </c>
      <c r="B691" s="1">
        <f t="shared" si="40"/>
        <v>45064</v>
      </c>
      <c r="C691" s="1" t="str">
        <f t="shared" si="41"/>
        <v>Thursday</v>
      </c>
      <c r="D691" s="1" t="str">
        <f t="shared" si="42"/>
        <v>May</v>
      </c>
      <c r="E691" s="1" t="str">
        <f t="shared" si="43"/>
        <v>2023</v>
      </c>
      <c r="F691" t="s">
        <v>16</v>
      </c>
      <c r="G691" s="5">
        <v>745.24136293460003</v>
      </c>
      <c r="H691" s="10">
        <v>16</v>
      </c>
      <c r="I691" s="2">
        <v>244.94822971858801</v>
      </c>
      <c r="J691" t="s">
        <v>12</v>
      </c>
    </row>
    <row r="692" spans="1:10" x14ac:dyDescent="0.25">
      <c r="A692" t="s">
        <v>153</v>
      </c>
      <c r="B692" s="1">
        <f t="shared" si="40"/>
        <v>45065</v>
      </c>
      <c r="C692" s="1" t="str">
        <f t="shared" si="41"/>
        <v>Friday</v>
      </c>
      <c r="D692" s="1" t="str">
        <f t="shared" si="42"/>
        <v>May</v>
      </c>
      <c r="E692" s="1" t="str">
        <f t="shared" si="43"/>
        <v>2023</v>
      </c>
      <c r="F692" t="s">
        <v>7</v>
      </c>
      <c r="G692" s="5">
        <v>1337.2338159957999</v>
      </c>
      <c r="H692" s="10">
        <v>10</v>
      </c>
      <c r="I692" s="2">
        <v>187.65474193027401</v>
      </c>
      <c r="J692" t="s">
        <v>12</v>
      </c>
    </row>
    <row r="693" spans="1:10" x14ac:dyDescent="0.25">
      <c r="A693" t="s">
        <v>153</v>
      </c>
      <c r="B693" s="1">
        <f t="shared" si="40"/>
        <v>45065</v>
      </c>
      <c r="C693" s="1" t="str">
        <f t="shared" si="41"/>
        <v>Friday</v>
      </c>
      <c r="D693" s="1" t="str">
        <f t="shared" si="42"/>
        <v>May</v>
      </c>
      <c r="E693" s="1" t="str">
        <f t="shared" si="43"/>
        <v>2023</v>
      </c>
      <c r="F693" t="s">
        <v>9</v>
      </c>
      <c r="G693" s="5">
        <v>1284.25793863685</v>
      </c>
      <c r="H693" s="10">
        <v>16</v>
      </c>
      <c r="I693" s="2">
        <v>444.27534560229702</v>
      </c>
      <c r="J693" t="s">
        <v>8</v>
      </c>
    </row>
    <row r="694" spans="1:10" x14ac:dyDescent="0.25">
      <c r="A694" t="s">
        <v>153</v>
      </c>
      <c r="B694" s="1">
        <f t="shared" si="40"/>
        <v>45065</v>
      </c>
      <c r="C694" s="1" t="str">
        <f t="shared" si="41"/>
        <v>Friday</v>
      </c>
      <c r="D694" s="1" t="str">
        <f t="shared" si="42"/>
        <v>May</v>
      </c>
      <c r="E694" s="1" t="str">
        <f t="shared" si="43"/>
        <v>2023</v>
      </c>
      <c r="F694" t="s">
        <v>11</v>
      </c>
      <c r="G694" s="5">
        <v>731.69526197379002</v>
      </c>
      <c r="H694" s="10">
        <v>15</v>
      </c>
      <c r="I694" s="2">
        <v>290.60278423897302</v>
      </c>
      <c r="J694" t="s">
        <v>12</v>
      </c>
    </row>
    <row r="695" spans="1:10" x14ac:dyDescent="0.25">
      <c r="A695" t="s">
        <v>153</v>
      </c>
      <c r="B695" s="1">
        <f t="shared" si="40"/>
        <v>45065</v>
      </c>
      <c r="C695" s="1" t="str">
        <f t="shared" si="41"/>
        <v>Friday</v>
      </c>
      <c r="D695" s="1" t="str">
        <f t="shared" si="42"/>
        <v>May</v>
      </c>
      <c r="E695" s="1" t="str">
        <f t="shared" si="43"/>
        <v>2023</v>
      </c>
      <c r="F695" t="s">
        <v>13</v>
      </c>
      <c r="G695" s="5">
        <v>794.81214946269995</v>
      </c>
      <c r="H695" s="10">
        <v>8</v>
      </c>
      <c r="I695" s="2">
        <v>316.64886237283901</v>
      </c>
      <c r="J695" t="s">
        <v>14</v>
      </c>
    </row>
    <row r="696" spans="1:10" x14ac:dyDescent="0.25">
      <c r="A696" t="s">
        <v>153</v>
      </c>
      <c r="B696" s="1">
        <f t="shared" si="40"/>
        <v>45065</v>
      </c>
      <c r="C696" s="1" t="str">
        <f t="shared" si="41"/>
        <v>Friday</v>
      </c>
      <c r="D696" s="1" t="str">
        <f t="shared" si="42"/>
        <v>May</v>
      </c>
      <c r="E696" s="1" t="str">
        <f t="shared" si="43"/>
        <v>2023</v>
      </c>
      <c r="F696" t="s">
        <v>16</v>
      </c>
      <c r="G696" s="5">
        <v>1217.5287365439001</v>
      </c>
      <c r="H696" s="10">
        <v>1</v>
      </c>
      <c r="I696" s="2">
        <v>146.96650850571899</v>
      </c>
      <c r="J696" t="s">
        <v>8</v>
      </c>
    </row>
    <row r="697" spans="1:10" x14ac:dyDescent="0.25">
      <c r="A697" t="s">
        <v>154</v>
      </c>
      <c r="B697" s="1">
        <f t="shared" si="40"/>
        <v>45066</v>
      </c>
      <c r="C697" s="1" t="str">
        <f t="shared" si="41"/>
        <v>Saturday</v>
      </c>
      <c r="D697" s="1" t="str">
        <f t="shared" si="42"/>
        <v>May</v>
      </c>
      <c r="E697" s="1" t="str">
        <f t="shared" si="43"/>
        <v>2023</v>
      </c>
      <c r="F697" t="s">
        <v>7</v>
      </c>
      <c r="G697" s="5">
        <v>1154.8534861344799</v>
      </c>
      <c r="H697" s="10">
        <v>8</v>
      </c>
      <c r="I697" s="2">
        <v>440.14620092574597</v>
      </c>
      <c r="J697" t="s">
        <v>14</v>
      </c>
    </row>
    <row r="698" spans="1:10" x14ac:dyDescent="0.25">
      <c r="A698" t="s">
        <v>154</v>
      </c>
      <c r="B698" s="1">
        <f t="shared" si="40"/>
        <v>45066</v>
      </c>
      <c r="C698" s="1" t="str">
        <f t="shared" si="41"/>
        <v>Saturday</v>
      </c>
      <c r="D698" s="1" t="str">
        <f t="shared" si="42"/>
        <v>May</v>
      </c>
      <c r="E698" s="1" t="str">
        <f t="shared" si="43"/>
        <v>2023</v>
      </c>
      <c r="F698" t="s">
        <v>9</v>
      </c>
      <c r="G698" s="5">
        <v>1356.6741144238999</v>
      </c>
      <c r="H698" s="10">
        <v>4</v>
      </c>
      <c r="I698" s="2">
        <v>420.58289264090598</v>
      </c>
      <c r="J698" t="s">
        <v>10</v>
      </c>
    </row>
    <row r="699" spans="1:10" x14ac:dyDescent="0.25">
      <c r="A699" t="s">
        <v>154</v>
      </c>
      <c r="B699" s="1">
        <f t="shared" si="40"/>
        <v>45066</v>
      </c>
      <c r="C699" s="1" t="str">
        <f t="shared" si="41"/>
        <v>Saturday</v>
      </c>
      <c r="D699" s="1" t="str">
        <f t="shared" si="42"/>
        <v>May</v>
      </c>
      <c r="E699" s="1" t="str">
        <f t="shared" si="43"/>
        <v>2023</v>
      </c>
      <c r="F699" t="s">
        <v>11</v>
      </c>
      <c r="G699" s="5">
        <v>1212.4911541631</v>
      </c>
      <c r="H699" s="10">
        <v>8</v>
      </c>
      <c r="I699" s="2">
        <v>266.42074971496402</v>
      </c>
      <c r="J699" t="s">
        <v>12</v>
      </c>
    </row>
    <row r="700" spans="1:10" x14ac:dyDescent="0.25">
      <c r="A700" t="s">
        <v>154</v>
      </c>
      <c r="B700" s="1">
        <f t="shared" si="40"/>
        <v>45066</v>
      </c>
      <c r="C700" s="1" t="str">
        <f t="shared" si="41"/>
        <v>Saturday</v>
      </c>
      <c r="D700" s="1" t="str">
        <f t="shared" si="42"/>
        <v>May</v>
      </c>
      <c r="E700" s="1" t="str">
        <f t="shared" si="43"/>
        <v>2023</v>
      </c>
      <c r="F700" t="s">
        <v>13</v>
      </c>
      <c r="G700" s="5">
        <v>951.79918168699999</v>
      </c>
      <c r="H700" s="10">
        <v>6</v>
      </c>
      <c r="I700" s="2">
        <v>182.45631354013</v>
      </c>
      <c r="J700" t="s">
        <v>14</v>
      </c>
    </row>
    <row r="701" spans="1:10" x14ac:dyDescent="0.25">
      <c r="A701" t="s">
        <v>154</v>
      </c>
      <c r="B701" s="1">
        <f t="shared" si="40"/>
        <v>45066</v>
      </c>
      <c r="C701" s="1" t="str">
        <f t="shared" si="41"/>
        <v>Saturday</v>
      </c>
      <c r="D701" s="1" t="str">
        <f t="shared" si="42"/>
        <v>May</v>
      </c>
      <c r="E701" s="1" t="str">
        <f t="shared" si="43"/>
        <v>2023</v>
      </c>
      <c r="F701" t="s">
        <v>16</v>
      </c>
      <c r="G701" s="5">
        <v>776.52926558649995</v>
      </c>
      <c r="H701" s="10">
        <v>3</v>
      </c>
      <c r="I701" s="2">
        <v>224.903784789778</v>
      </c>
      <c r="J701" t="s">
        <v>8</v>
      </c>
    </row>
    <row r="702" spans="1:10" x14ac:dyDescent="0.25">
      <c r="A702" t="s">
        <v>155</v>
      </c>
      <c r="B702" s="1">
        <f t="shared" si="40"/>
        <v>45067</v>
      </c>
      <c r="C702" s="1" t="str">
        <f t="shared" si="41"/>
        <v>Sunday</v>
      </c>
      <c r="D702" s="1" t="str">
        <f t="shared" si="42"/>
        <v>May</v>
      </c>
      <c r="E702" s="1" t="str">
        <f t="shared" si="43"/>
        <v>2023</v>
      </c>
      <c r="F702" t="s">
        <v>7</v>
      </c>
      <c r="G702" s="5">
        <v>19.572361634</v>
      </c>
      <c r="H702" s="10">
        <v>16</v>
      </c>
      <c r="I702" s="2">
        <v>307.28274438536101</v>
      </c>
      <c r="J702" t="s">
        <v>8</v>
      </c>
    </row>
    <row r="703" spans="1:10" x14ac:dyDescent="0.25">
      <c r="A703" t="s">
        <v>155</v>
      </c>
      <c r="B703" s="1">
        <f t="shared" si="40"/>
        <v>45067</v>
      </c>
      <c r="C703" s="1" t="str">
        <f t="shared" si="41"/>
        <v>Sunday</v>
      </c>
      <c r="D703" s="1" t="str">
        <f t="shared" si="42"/>
        <v>May</v>
      </c>
      <c r="E703" s="1" t="str">
        <f t="shared" si="43"/>
        <v>2023</v>
      </c>
      <c r="F703" t="s">
        <v>9</v>
      </c>
      <c r="G703" s="5">
        <v>1182.582232772</v>
      </c>
      <c r="H703" s="10">
        <v>2</v>
      </c>
      <c r="I703" s="2">
        <v>400.13221322799302</v>
      </c>
      <c r="J703" t="s">
        <v>14</v>
      </c>
    </row>
    <row r="704" spans="1:10" x14ac:dyDescent="0.25">
      <c r="A704" t="s">
        <v>155</v>
      </c>
      <c r="B704" s="1">
        <f t="shared" si="40"/>
        <v>45067</v>
      </c>
      <c r="C704" s="1" t="str">
        <f t="shared" si="41"/>
        <v>Sunday</v>
      </c>
      <c r="D704" s="1" t="str">
        <f t="shared" si="42"/>
        <v>May</v>
      </c>
      <c r="E704" s="1" t="str">
        <f t="shared" si="43"/>
        <v>2023</v>
      </c>
      <c r="F704" t="s">
        <v>11</v>
      </c>
      <c r="G704" s="5">
        <v>65.197333277431994</v>
      </c>
      <c r="H704" s="10">
        <v>13</v>
      </c>
      <c r="I704" s="2">
        <v>195.09582319606599</v>
      </c>
      <c r="J704" t="s">
        <v>10</v>
      </c>
    </row>
    <row r="705" spans="1:10" x14ac:dyDescent="0.25">
      <c r="A705" t="s">
        <v>155</v>
      </c>
      <c r="B705" s="1">
        <f t="shared" si="40"/>
        <v>45067</v>
      </c>
      <c r="C705" s="1" t="str">
        <f t="shared" si="41"/>
        <v>Sunday</v>
      </c>
      <c r="D705" s="1" t="str">
        <f t="shared" si="42"/>
        <v>May</v>
      </c>
      <c r="E705" s="1" t="str">
        <f t="shared" si="43"/>
        <v>2023</v>
      </c>
      <c r="F705" t="s">
        <v>13</v>
      </c>
      <c r="G705" s="5">
        <v>978.56632873650005</v>
      </c>
      <c r="H705" s="10">
        <v>2</v>
      </c>
      <c r="I705" s="2">
        <v>180.35109036314799</v>
      </c>
      <c r="J705" t="s">
        <v>14</v>
      </c>
    </row>
    <row r="706" spans="1:10" x14ac:dyDescent="0.25">
      <c r="A706" t="s">
        <v>155</v>
      </c>
      <c r="B706" s="1">
        <f t="shared" si="40"/>
        <v>45067</v>
      </c>
      <c r="C706" s="1" t="str">
        <f t="shared" si="41"/>
        <v>Sunday</v>
      </c>
      <c r="D706" s="1" t="str">
        <f t="shared" si="42"/>
        <v>May</v>
      </c>
      <c r="E706" s="1" t="str">
        <f t="shared" si="43"/>
        <v>2023</v>
      </c>
      <c r="F706" t="s">
        <v>16</v>
      </c>
      <c r="G706" s="5">
        <v>763.31776937227801</v>
      </c>
      <c r="H706" s="10">
        <v>7</v>
      </c>
      <c r="I706" s="2">
        <v>185.43362223594599</v>
      </c>
      <c r="J706" t="s">
        <v>8</v>
      </c>
    </row>
    <row r="707" spans="1:10" x14ac:dyDescent="0.25">
      <c r="A707" t="s">
        <v>156</v>
      </c>
      <c r="B707" s="1">
        <f t="shared" ref="B707:B770" si="44">DATE(VALUE(RIGHT(A707,4)),VALUE(LEFT(A707,FIND("/",A707)-1)),VALUE(MID(A707,FIND("/",A707)+1,FIND("/",A707,FIND("/",A707)+1)-FIND("/",A707)-1)))</f>
        <v>45068</v>
      </c>
      <c r="C707" s="1" t="str">
        <f t="shared" ref="C707:C770" si="45">TEXT(B707,"DDDD")</f>
        <v>Monday</v>
      </c>
      <c r="D707" s="1" t="str">
        <f t="shared" ref="D707:D770" si="46">TEXT(B707,"MMMM")</f>
        <v>May</v>
      </c>
      <c r="E707" s="1" t="str">
        <f t="shared" ref="E707:E770" si="47">TEXT(B707,"YYYY")</f>
        <v>2023</v>
      </c>
      <c r="F707" t="s">
        <v>7</v>
      </c>
      <c r="G707" s="5">
        <v>858.75137458519998</v>
      </c>
      <c r="H707" s="10">
        <v>17</v>
      </c>
      <c r="I707" s="2">
        <v>250.87802220960299</v>
      </c>
      <c r="J707" t="s">
        <v>8</v>
      </c>
    </row>
    <row r="708" spans="1:10" x14ac:dyDescent="0.25">
      <c r="A708" t="s">
        <v>156</v>
      </c>
      <c r="B708" s="1">
        <f t="shared" si="44"/>
        <v>45068</v>
      </c>
      <c r="C708" s="1" t="str">
        <f t="shared" si="45"/>
        <v>Monday</v>
      </c>
      <c r="D708" s="1" t="str">
        <f t="shared" si="46"/>
        <v>May</v>
      </c>
      <c r="E708" s="1" t="str">
        <f t="shared" si="47"/>
        <v>2023</v>
      </c>
      <c r="F708" t="s">
        <v>9</v>
      </c>
      <c r="G708" s="5">
        <v>1444.3715645766399</v>
      </c>
      <c r="H708" s="10">
        <v>17</v>
      </c>
      <c r="I708" s="2">
        <v>456.331048752904</v>
      </c>
      <c r="J708" t="s">
        <v>14</v>
      </c>
    </row>
    <row r="709" spans="1:10" x14ac:dyDescent="0.25">
      <c r="A709" t="s">
        <v>156</v>
      </c>
      <c r="B709" s="1">
        <f t="shared" si="44"/>
        <v>45068</v>
      </c>
      <c r="C709" s="1" t="str">
        <f t="shared" si="45"/>
        <v>Monday</v>
      </c>
      <c r="D709" s="1" t="str">
        <f t="shared" si="46"/>
        <v>May</v>
      </c>
      <c r="E709" s="1" t="str">
        <f t="shared" si="47"/>
        <v>2023</v>
      </c>
      <c r="F709" t="s">
        <v>11</v>
      </c>
      <c r="G709" s="5">
        <v>856.42676659999995</v>
      </c>
      <c r="H709" s="10">
        <v>10</v>
      </c>
      <c r="I709" s="2">
        <v>236.16776259575099</v>
      </c>
      <c r="J709" t="s">
        <v>14</v>
      </c>
    </row>
    <row r="710" spans="1:10" x14ac:dyDescent="0.25">
      <c r="A710" t="s">
        <v>156</v>
      </c>
      <c r="B710" s="1">
        <f t="shared" si="44"/>
        <v>45068</v>
      </c>
      <c r="C710" s="1" t="str">
        <f t="shared" si="45"/>
        <v>Monday</v>
      </c>
      <c r="D710" s="1" t="str">
        <f t="shared" si="46"/>
        <v>May</v>
      </c>
      <c r="E710" s="1" t="str">
        <f t="shared" si="47"/>
        <v>2023</v>
      </c>
      <c r="F710" t="s">
        <v>13</v>
      </c>
      <c r="G710" s="5">
        <v>1615.6498444279</v>
      </c>
      <c r="H710" s="10">
        <v>18</v>
      </c>
      <c r="I710" s="2">
        <v>278.828048937647</v>
      </c>
      <c r="J710" t="s">
        <v>14</v>
      </c>
    </row>
    <row r="711" spans="1:10" x14ac:dyDescent="0.25">
      <c r="A711" t="s">
        <v>156</v>
      </c>
      <c r="B711" s="1">
        <f t="shared" si="44"/>
        <v>45068</v>
      </c>
      <c r="C711" s="1" t="str">
        <f t="shared" si="45"/>
        <v>Monday</v>
      </c>
      <c r="D711" s="1" t="str">
        <f t="shared" si="46"/>
        <v>May</v>
      </c>
      <c r="E711" s="1" t="str">
        <f t="shared" si="47"/>
        <v>2023</v>
      </c>
      <c r="F711" t="s">
        <v>16</v>
      </c>
      <c r="G711" s="5">
        <v>1245.4561483176999</v>
      </c>
      <c r="H711" s="10">
        <v>14</v>
      </c>
      <c r="I711" s="2">
        <v>431.87491729725599</v>
      </c>
      <c r="J711" t="s">
        <v>14</v>
      </c>
    </row>
    <row r="712" spans="1:10" x14ac:dyDescent="0.25">
      <c r="A712" t="s">
        <v>157</v>
      </c>
      <c r="B712" s="1">
        <f t="shared" si="44"/>
        <v>45069</v>
      </c>
      <c r="C712" s="1" t="str">
        <f t="shared" si="45"/>
        <v>Tuesday</v>
      </c>
      <c r="D712" s="1" t="str">
        <f t="shared" si="46"/>
        <v>May</v>
      </c>
      <c r="E712" s="1" t="str">
        <f t="shared" si="47"/>
        <v>2023</v>
      </c>
      <c r="F712" t="s">
        <v>7</v>
      </c>
      <c r="G712" s="5">
        <v>1157.1313329498601</v>
      </c>
      <c r="H712" s="10">
        <v>4</v>
      </c>
      <c r="I712" s="2">
        <v>165.3110088</v>
      </c>
      <c r="J712" t="s">
        <v>10</v>
      </c>
    </row>
    <row r="713" spans="1:10" x14ac:dyDescent="0.25">
      <c r="A713" t="s">
        <v>157</v>
      </c>
      <c r="B713" s="1">
        <f t="shared" si="44"/>
        <v>45069</v>
      </c>
      <c r="C713" s="1" t="str">
        <f t="shared" si="45"/>
        <v>Tuesday</v>
      </c>
      <c r="D713" s="1" t="str">
        <f t="shared" si="46"/>
        <v>May</v>
      </c>
      <c r="E713" s="1" t="str">
        <f t="shared" si="47"/>
        <v>2023</v>
      </c>
      <c r="F713" t="s">
        <v>9</v>
      </c>
      <c r="G713" s="5">
        <v>478.54585829936002</v>
      </c>
      <c r="H713" s="10">
        <v>8</v>
      </c>
      <c r="I713" s="2">
        <v>86.819136304788501</v>
      </c>
      <c r="J713" t="s">
        <v>10</v>
      </c>
    </row>
    <row r="714" spans="1:10" x14ac:dyDescent="0.25">
      <c r="A714" t="s">
        <v>157</v>
      </c>
      <c r="B714" s="1">
        <f t="shared" si="44"/>
        <v>45069</v>
      </c>
      <c r="C714" s="1" t="str">
        <f t="shared" si="45"/>
        <v>Tuesday</v>
      </c>
      <c r="D714" s="1" t="str">
        <f t="shared" si="46"/>
        <v>May</v>
      </c>
      <c r="E714" s="1" t="str">
        <f t="shared" si="47"/>
        <v>2023</v>
      </c>
      <c r="F714" t="s">
        <v>11</v>
      </c>
      <c r="G714" s="5">
        <v>1166.8652736992501</v>
      </c>
      <c r="H714" s="10">
        <v>9</v>
      </c>
      <c r="I714" s="2">
        <v>378.75696517661697</v>
      </c>
      <c r="J714" t="s">
        <v>10</v>
      </c>
    </row>
    <row r="715" spans="1:10" x14ac:dyDescent="0.25">
      <c r="A715" t="s">
        <v>157</v>
      </c>
      <c r="B715" s="1">
        <f t="shared" si="44"/>
        <v>45069</v>
      </c>
      <c r="C715" s="1" t="str">
        <f t="shared" si="45"/>
        <v>Tuesday</v>
      </c>
      <c r="D715" s="1" t="str">
        <f t="shared" si="46"/>
        <v>May</v>
      </c>
      <c r="E715" s="1" t="str">
        <f t="shared" si="47"/>
        <v>2023</v>
      </c>
      <c r="F715" t="s">
        <v>13</v>
      </c>
      <c r="G715" s="5">
        <v>1243.6719342817601</v>
      </c>
      <c r="H715" s="10">
        <v>17</v>
      </c>
      <c r="I715" s="2">
        <v>315.07028300705798</v>
      </c>
      <c r="J715" t="s">
        <v>12</v>
      </c>
    </row>
    <row r="716" spans="1:10" x14ac:dyDescent="0.25">
      <c r="A716" t="s">
        <v>157</v>
      </c>
      <c r="B716" s="1">
        <f t="shared" si="44"/>
        <v>45069</v>
      </c>
      <c r="C716" s="1" t="str">
        <f t="shared" si="45"/>
        <v>Tuesday</v>
      </c>
      <c r="D716" s="1" t="str">
        <f t="shared" si="46"/>
        <v>May</v>
      </c>
      <c r="E716" s="1" t="str">
        <f t="shared" si="47"/>
        <v>2023</v>
      </c>
      <c r="F716" t="s">
        <v>16</v>
      </c>
      <c r="G716" s="5">
        <v>128.16353349419001</v>
      </c>
      <c r="H716" s="10">
        <v>17</v>
      </c>
      <c r="I716" s="2">
        <v>143.53814778104501</v>
      </c>
      <c r="J716" t="s">
        <v>12</v>
      </c>
    </row>
    <row r="717" spans="1:10" x14ac:dyDescent="0.25">
      <c r="A717" t="s">
        <v>158</v>
      </c>
      <c r="B717" s="1">
        <f t="shared" si="44"/>
        <v>45070</v>
      </c>
      <c r="C717" s="1" t="str">
        <f t="shared" si="45"/>
        <v>Wednesday</v>
      </c>
      <c r="D717" s="1" t="str">
        <f t="shared" si="46"/>
        <v>May</v>
      </c>
      <c r="E717" s="1" t="str">
        <f t="shared" si="47"/>
        <v>2023</v>
      </c>
      <c r="F717" t="s">
        <v>7</v>
      </c>
      <c r="G717" s="5">
        <v>1478.8239265994</v>
      </c>
      <c r="H717" s="10">
        <v>8</v>
      </c>
      <c r="I717" s="2">
        <v>149.57708996676899</v>
      </c>
      <c r="J717" t="s">
        <v>8</v>
      </c>
    </row>
    <row r="718" spans="1:10" x14ac:dyDescent="0.25">
      <c r="A718" t="s">
        <v>158</v>
      </c>
      <c r="B718" s="1">
        <f t="shared" si="44"/>
        <v>45070</v>
      </c>
      <c r="C718" s="1" t="str">
        <f t="shared" si="45"/>
        <v>Wednesday</v>
      </c>
      <c r="D718" s="1" t="str">
        <f t="shared" si="46"/>
        <v>May</v>
      </c>
      <c r="E718" s="1" t="str">
        <f t="shared" si="47"/>
        <v>2023</v>
      </c>
      <c r="F718" t="s">
        <v>9</v>
      </c>
      <c r="G718" s="5">
        <v>155.47245786900001</v>
      </c>
      <c r="H718" s="10">
        <v>2</v>
      </c>
      <c r="I718" s="2">
        <v>204.765845518416</v>
      </c>
      <c r="J718" t="s">
        <v>14</v>
      </c>
    </row>
    <row r="719" spans="1:10" x14ac:dyDescent="0.25">
      <c r="A719" t="s">
        <v>158</v>
      </c>
      <c r="B719" s="1">
        <f t="shared" si="44"/>
        <v>45070</v>
      </c>
      <c r="C719" s="1" t="str">
        <f t="shared" si="45"/>
        <v>Wednesday</v>
      </c>
      <c r="D719" s="1" t="str">
        <f t="shared" si="46"/>
        <v>May</v>
      </c>
      <c r="E719" s="1" t="str">
        <f t="shared" si="47"/>
        <v>2023</v>
      </c>
      <c r="F719" t="s">
        <v>11</v>
      </c>
      <c r="G719" s="5">
        <v>684.11476479969997</v>
      </c>
      <c r="H719" s="10">
        <v>18</v>
      </c>
      <c r="I719" s="2">
        <v>251.45277103167899</v>
      </c>
      <c r="J719" t="s">
        <v>8</v>
      </c>
    </row>
    <row r="720" spans="1:10" x14ac:dyDescent="0.25">
      <c r="A720" t="s">
        <v>158</v>
      </c>
      <c r="B720" s="1">
        <f t="shared" si="44"/>
        <v>45070</v>
      </c>
      <c r="C720" s="1" t="str">
        <f t="shared" si="45"/>
        <v>Wednesday</v>
      </c>
      <c r="D720" s="1" t="str">
        <f t="shared" si="46"/>
        <v>May</v>
      </c>
      <c r="E720" s="1" t="str">
        <f t="shared" si="47"/>
        <v>2023</v>
      </c>
      <c r="F720" t="s">
        <v>13</v>
      </c>
      <c r="G720" s="5">
        <v>436.13181159699297</v>
      </c>
      <c r="H720" s="10">
        <v>12</v>
      </c>
      <c r="I720" s="2">
        <v>131.948198544972</v>
      </c>
      <c r="J720" t="s">
        <v>8</v>
      </c>
    </row>
    <row r="721" spans="1:10" x14ac:dyDescent="0.25">
      <c r="A721" t="s">
        <v>158</v>
      </c>
      <c r="B721" s="1">
        <f t="shared" si="44"/>
        <v>45070</v>
      </c>
      <c r="C721" s="1" t="str">
        <f t="shared" si="45"/>
        <v>Wednesday</v>
      </c>
      <c r="D721" s="1" t="str">
        <f t="shared" si="46"/>
        <v>May</v>
      </c>
      <c r="E721" s="1" t="str">
        <f t="shared" si="47"/>
        <v>2023</v>
      </c>
      <c r="F721" t="s">
        <v>16</v>
      </c>
      <c r="G721" s="5">
        <v>643.27814258845001</v>
      </c>
      <c r="H721" s="10">
        <v>1</v>
      </c>
      <c r="I721" s="2">
        <v>243.83540865688599</v>
      </c>
      <c r="J721" t="s">
        <v>8</v>
      </c>
    </row>
    <row r="722" spans="1:10" x14ac:dyDescent="0.25">
      <c r="A722" t="s">
        <v>159</v>
      </c>
      <c r="B722" s="1">
        <f t="shared" si="44"/>
        <v>45071</v>
      </c>
      <c r="C722" s="1" t="str">
        <f t="shared" si="45"/>
        <v>Thursday</v>
      </c>
      <c r="D722" s="1" t="str">
        <f t="shared" si="46"/>
        <v>May</v>
      </c>
      <c r="E722" s="1" t="str">
        <f t="shared" si="47"/>
        <v>2023</v>
      </c>
      <c r="F722" t="s">
        <v>7</v>
      </c>
      <c r="G722" s="5">
        <v>1156.6731437440001</v>
      </c>
      <c r="H722" s="10">
        <v>13</v>
      </c>
      <c r="I722" s="2">
        <v>179.10177461525299</v>
      </c>
      <c r="J722" t="s">
        <v>14</v>
      </c>
    </row>
    <row r="723" spans="1:10" x14ac:dyDescent="0.25">
      <c r="A723" t="s">
        <v>159</v>
      </c>
      <c r="B723" s="1">
        <f t="shared" si="44"/>
        <v>45071</v>
      </c>
      <c r="C723" s="1" t="str">
        <f t="shared" si="45"/>
        <v>Thursday</v>
      </c>
      <c r="D723" s="1" t="str">
        <f t="shared" si="46"/>
        <v>May</v>
      </c>
      <c r="E723" s="1" t="str">
        <f t="shared" si="47"/>
        <v>2023</v>
      </c>
      <c r="F723" t="s">
        <v>9</v>
      </c>
      <c r="G723" s="5">
        <v>755.78841696869995</v>
      </c>
      <c r="H723" s="10">
        <v>12</v>
      </c>
      <c r="I723" s="2">
        <v>104.865491834248</v>
      </c>
      <c r="J723" t="s">
        <v>14</v>
      </c>
    </row>
    <row r="724" spans="1:10" x14ac:dyDescent="0.25">
      <c r="A724" t="s">
        <v>159</v>
      </c>
      <c r="B724" s="1">
        <f t="shared" si="44"/>
        <v>45071</v>
      </c>
      <c r="C724" s="1" t="str">
        <f t="shared" si="45"/>
        <v>Thursday</v>
      </c>
      <c r="D724" s="1" t="str">
        <f t="shared" si="46"/>
        <v>May</v>
      </c>
      <c r="E724" s="1" t="str">
        <f t="shared" si="47"/>
        <v>2023</v>
      </c>
      <c r="F724" t="s">
        <v>11</v>
      </c>
      <c r="G724" s="5">
        <v>683.38389487225299</v>
      </c>
      <c r="H724" s="10">
        <v>19</v>
      </c>
      <c r="I724" s="2">
        <v>198.38765808605299</v>
      </c>
      <c r="J724" t="s">
        <v>8</v>
      </c>
    </row>
    <row r="725" spans="1:10" x14ac:dyDescent="0.25">
      <c r="A725" t="s">
        <v>159</v>
      </c>
      <c r="B725" s="1">
        <f t="shared" si="44"/>
        <v>45071</v>
      </c>
      <c r="C725" s="1" t="str">
        <f t="shared" si="45"/>
        <v>Thursday</v>
      </c>
      <c r="D725" s="1" t="str">
        <f t="shared" si="46"/>
        <v>May</v>
      </c>
      <c r="E725" s="1" t="str">
        <f t="shared" si="47"/>
        <v>2023</v>
      </c>
      <c r="F725" t="s">
        <v>13</v>
      </c>
      <c r="G725" s="5">
        <v>1317.545363599</v>
      </c>
      <c r="H725" s="10">
        <v>10</v>
      </c>
      <c r="I725" s="2">
        <v>173.18135032053399</v>
      </c>
      <c r="J725" t="s">
        <v>12</v>
      </c>
    </row>
    <row r="726" spans="1:10" x14ac:dyDescent="0.25">
      <c r="A726" t="s">
        <v>159</v>
      </c>
      <c r="B726" s="1">
        <f t="shared" si="44"/>
        <v>45071</v>
      </c>
      <c r="C726" s="1" t="str">
        <f t="shared" si="45"/>
        <v>Thursday</v>
      </c>
      <c r="D726" s="1" t="str">
        <f t="shared" si="46"/>
        <v>May</v>
      </c>
      <c r="E726" s="1" t="str">
        <f t="shared" si="47"/>
        <v>2023</v>
      </c>
      <c r="F726" t="s">
        <v>16</v>
      </c>
      <c r="G726" s="5">
        <v>1.15838765697</v>
      </c>
      <c r="H726" s="10">
        <v>9</v>
      </c>
      <c r="I726" s="2">
        <v>242.82877429330799</v>
      </c>
      <c r="J726" t="s">
        <v>14</v>
      </c>
    </row>
    <row r="727" spans="1:10" x14ac:dyDescent="0.25">
      <c r="A727" t="s">
        <v>160</v>
      </c>
      <c r="B727" s="1">
        <f t="shared" si="44"/>
        <v>45072</v>
      </c>
      <c r="C727" s="1" t="str">
        <f t="shared" si="45"/>
        <v>Friday</v>
      </c>
      <c r="D727" s="1" t="str">
        <f t="shared" si="46"/>
        <v>May</v>
      </c>
      <c r="E727" s="1" t="str">
        <f t="shared" si="47"/>
        <v>2023</v>
      </c>
      <c r="F727" t="s">
        <v>7</v>
      </c>
      <c r="G727" s="5">
        <v>118.36224678729999</v>
      </c>
      <c r="H727" s="10">
        <v>18</v>
      </c>
      <c r="I727" s="2">
        <v>342.69125305853697</v>
      </c>
      <c r="J727" t="s">
        <v>10</v>
      </c>
    </row>
    <row r="728" spans="1:10" x14ac:dyDescent="0.25">
      <c r="A728" t="s">
        <v>160</v>
      </c>
      <c r="B728" s="1">
        <f t="shared" si="44"/>
        <v>45072</v>
      </c>
      <c r="C728" s="1" t="str">
        <f t="shared" si="45"/>
        <v>Friday</v>
      </c>
      <c r="D728" s="1" t="str">
        <f t="shared" si="46"/>
        <v>May</v>
      </c>
      <c r="E728" s="1" t="str">
        <f t="shared" si="47"/>
        <v>2023</v>
      </c>
      <c r="F728" t="s">
        <v>9</v>
      </c>
      <c r="G728" s="5">
        <v>847.55794758599995</v>
      </c>
      <c r="H728" s="10">
        <v>9</v>
      </c>
      <c r="I728" s="2">
        <v>132.05537531319601</v>
      </c>
      <c r="J728" t="s">
        <v>8</v>
      </c>
    </row>
    <row r="729" spans="1:10" x14ac:dyDescent="0.25">
      <c r="A729" t="s">
        <v>160</v>
      </c>
      <c r="B729" s="1">
        <f t="shared" si="44"/>
        <v>45072</v>
      </c>
      <c r="C729" s="1" t="str">
        <f t="shared" si="45"/>
        <v>Friday</v>
      </c>
      <c r="D729" s="1" t="str">
        <f t="shared" si="46"/>
        <v>May</v>
      </c>
      <c r="E729" s="1" t="str">
        <f t="shared" si="47"/>
        <v>2023</v>
      </c>
      <c r="F729" t="s">
        <v>11</v>
      </c>
      <c r="G729" s="5">
        <v>955.66594354758001</v>
      </c>
      <c r="H729" s="10">
        <v>13</v>
      </c>
      <c r="I729" s="2">
        <v>214.775638792352</v>
      </c>
      <c r="J729" t="s">
        <v>12</v>
      </c>
    </row>
    <row r="730" spans="1:10" x14ac:dyDescent="0.25">
      <c r="A730" t="s">
        <v>160</v>
      </c>
      <c r="B730" s="1">
        <f t="shared" si="44"/>
        <v>45072</v>
      </c>
      <c r="C730" s="1" t="str">
        <f t="shared" si="45"/>
        <v>Friday</v>
      </c>
      <c r="D730" s="1" t="str">
        <f t="shared" si="46"/>
        <v>May</v>
      </c>
      <c r="E730" s="1" t="str">
        <f t="shared" si="47"/>
        <v>2023</v>
      </c>
      <c r="F730" t="s">
        <v>13</v>
      </c>
      <c r="G730" s="5">
        <v>1186.6621432131999</v>
      </c>
      <c r="H730" s="10">
        <v>11</v>
      </c>
      <c r="I730" s="2">
        <v>378.72192751270302</v>
      </c>
      <c r="J730" t="s">
        <v>12</v>
      </c>
    </row>
    <row r="731" spans="1:10" x14ac:dyDescent="0.25">
      <c r="A731" t="s">
        <v>160</v>
      </c>
      <c r="B731" s="1">
        <f t="shared" si="44"/>
        <v>45072</v>
      </c>
      <c r="C731" s="1" t="str">
        <f t="shared" si="45"/>
        <v>Friday</v>
      </c>
      <c r="D731" s="1" t="str">
        <f t="shared" si="46"/>
        <v>May</v>
      </c>
      <c r="E731" s="1" t="str">
        <f t="shared" si="47"/>
        <v>2023</v>
      </c>
      <c r="F731" t="s">
        <v>16</v>
      </c>
      <c r="G731" s="5">
        <v>658.35646657689995</v>
      </c>
      <c r="H731" s="10">
        <v>1</v>
      </c>
      <c r="I731" s="2">
        <v>223.09652074007101</v>
      </c>
      <c r="J731" t="s">
        <v>10</v>
      </c>
    </row>
    <row r="732" spans="1:10" x14ac:dyDescent="0.25">
      <c r="A732" t="s">
        <v>161</v>
      </c>
      <c r="B732" s="1">
        <f t="shared" si="44"/>
        <v>45073</v>
      </c>
      <c r="C732" s="1" t="str">
        <f t="shared" si="45"/>
        <v>Saturday</v>
      </c>
      <c r="D732" s="1" t="str">
        <f t="shared" si="46"/>
        <v>May</v>
      </c>
      <c r="E732" s="1" t="str">
        <f t="shared" si="47"/>
        <v>2023</v>
      </c>
      <c r="F732" t="s">
        <v>7</v>
      </c>
      <c r="G732" s="5">
        <v>533.87237195180001</v>
      </c>
      <c r="H732" s="10">
        <v>8</v>
      </c>
      <c r="I732" s="2">
        <v>157.75497605134501</v>
      </c>
      <c r="J732" t="s">
        <v>12</v>
      </c>
    </row>
    <row r="733" spans="1:10" x14ac:dyDescent="0.25">
      <c r="A733" t="s">
        <v>161</v>
      </c>
      <c r="B733" s="1">
        <f t="shared" si="44"/>
        <v>45073</v>
      </c>
      <c r="C733" s="1" t="str">
        <f t="shared" si="45"/>
        <v>Saturday</v>
      </c>
      <c r="D733" s="1" t="str">
        <f t="shared" si="46"/>
        <v>May</v>
      </c>
      <c r="E733" s="1" t="str">
        <f t="shared" si="47"/>
        <v>2023</v>
      </c>
      <c r="F733" t="s">
        <v>9</v>
      </c>
      <c r="G733" s="5">
        <v>1245.3668974750001</v>
      </c>
      <c r="H733" s="10">
        <v>3</v>
      </c>
      <c r="I733" s="2">
        <v>242.45824349261099</v>
      </c>
      <c r="J733" t="s">
        <v>14</v>
      </c>
    </row>
    <row r="734" spans="1:10" x14ac:dyDescent="0.25">
      <c r="A734" t="s">
        <v>161</v>
      </c>
      <c r="B734" s="1">
        <f t="shared" si="44"/>
        <v>45073</v>
      </c>
      <c r="C734" s="1" t="str">
        <f t="shared" si="45"/>
        <v>Saturday</v>
      </c>
      <c r="D734" s="1" t="str">
        <f t="shared" si="46"/>
        <v>May</v>
      </c>
      <c r="E734" s="1" t="str">
        <f t="shared" si="47"/>
        <v>2023</v>
      </c>
      <c r="F734" t="s">
        <v>11</v>
      </c>
      <c r="G734" s="5">
        <v>141.4896693574</v>
      </c>
      <c r="H734" s="10">
        <v>1</v>
      </c>
      <c r="I734" s="2">
        <v>382.29386264872898</v>
      </c>
      <c r="J734" t="s">
        <v>14</v>
      </c>
    </row>
    <row r="735" spans="1:10" x14ac:dyDescent="0.25">
      <c r="A735" t="s">
        <v>161</v>
      </c>
      <c r="B735" s="1">
        <f t="shared" si="44"/>
        <v>45073</v>
      </c>
      <c r="C735" s="1" t="str">
        <f t="shared" si="45"/>
        <v>Saturday</v>
      </c>
      <c r="D735" s="1" t="str">
        <f t="shared" si="46"/>
        <v>May</v>
      </c>
      <c r="E735" s="1" t="str">
        <f t="shared" si="47"/>
        <v>2023</v>
      </c>
      <c r="F735" t="s">
        <v>13</v>
      </c>
      <c r="G735" s="5">
        <v>898.25648269234</v>
      </c>
      <c r="H735" s="10">
        <v>11</v>
      </c>
      <c r="I735" s="2">
        <v>188.886939850641</v>
      </c>
      <c r="J735" t="s">
        <v>8</v>
      </c>
    </row>
    <row r="736" spans="1:10" x14ac:dyDescent="0.25">
      <c r="A736" t="s">
        <v>161</v>
      </c>
      <c r="B736" s="1">
        <f t="shared" si="44"/>
        <v>45073</v>
      </c>
      <c r="C736" s="1" t="str">
        <f t="shared" si="45"/>
        <v>Saturday</v>
      </c>
      <c r="D736" s="1" t="str">
        <f t="shared" si="46"/>
        <v>May</v>
      </c>
      <c r="E736" s="1" t="str">
        <f t="shared" si="47"/>
        <v>2023</v>
      </c>
      <c r="F736" t="s">
        <v>16</v>
      </c>
      <c r="G736" s="5">
        <v>1154.322897113</v>
      </c>
      <c r="H736" s="10">
        <v>12</v>
      </c>
      <c r="I736" s="2">
        <v>150.01551720719499</v>
      </c>
      <c r="J736" t="s">
        <v>12</v>
      </c>
    </row>
    <row r="737" spans="1:10" x14ac:dyDescent="0.25">
      <c r="A737" t="s">
        <v>162</v>
      </c>
      <c r="B737" s="1">
        <f t="shared" si="44"/>
        <v>45074</v>
      </c>
      <c r="C737" s="1" t="str">
        <f t="shared" si="45"/>
        <v>Sunday</v>
      </c>
      <c r="D737" s="1" t="str">
        <f t="shared" si="46"/>
        <v>May</v>
      </c>
      <c r="E737" s="1" t="str">
        <f t="shared" si="47"/>
        <v>2023</v>
      </c>
      <c r="F737" t="s">
        <v>7</v>
      </c>
      <c r="G737" s="5">
        <v>1176.91662782241</v>
      </c>
      <c r="H737" s="10">
        <v>14</v>
      </c>
      <c r="I737" s="2">
        <v>203.09657752432301</v>
      </c>
      <c r="J737" t="s">
        <v>12</v>
      </c>
    </row>
    <row r="738" spans="1:10" x14ac:dyDescent="0.25">
      <c r="A738" t="s">
        <v>162</v>
      </c>
      <c r="B738" s="1">
        <f t="shared" si="44"/>
        <v>45074</v>
      </c>
      <c r="C738" s="1" t="str">
        <f t="shared" si="45"/>
        <v>Sunday</v>
      </c>
      <c r="D738" s="1" t="str">
        <f t="shared" si="46"/>
        <v>May</v>
      </c>
      <c r="E738" s="1" t="str">
        <f t="shared" si="47"/>
        <v>2023</v>
      </c>
      <c r="F738" t="s">
        <v>9</v>
      </c>
      <c r="G738" s="5">
        <v>931.42253979940006</v>
      </c>
      <c r="H738" s="10">
        <v>3</v>
      </c>
      <c r="I738" s="2">
        <v>206.111072536683</v>
      </c>
      <c r="J738" t="s">
        <v>8</v>
      </c>
    </row>
    <row r="739" spans="1:10" x14ac:dyDescent="0.25">
      <c r="A739" t="s">
        <v>162</v>
      </c>
      <c r="B739" s="1">
        <f t="shared" si="44"/>
        <v>45074</v>
      </c>
      <c r="C739" s="1" t="str">
        <f t="shared" si="45"/>
        <v>Sunday</v>
      </c>
      <c r="D739" s="1" t="str">
        <f t="shared" si="46"/>
        <v>May</v>
      </c>
      <c r="E739" s="1" t="str">
        <f t="shared" si="47"/>
        <v>2023</v>
      </c>
      <c r="F739" t="s">
        <v>11</v>
      </c>
      <c r="G739" s="5">
        <v>71.695187617445995</v>
      </c>
      <c r="H739" s="10">
        <v>12</v>
      </c>
      <c r="I739" s="2">
        <v>195.44982844575199</v>
      </c>
      <c r="J739" t="s">
        <v>14</v>
      </c>
    </row>
    <row r="740" spans="1:10" x14ac:dyDescent="0.25">
      <c r="A740" t="s">
        <v>162</v>
      </c>
      <c r="B740" s="1">
        <f t="shared" si="44"/>
        <v>45074</v>
      </c>
      <c r="C740" s="1" t="str">
        <f t="shared" si="45"/>
        <v>Sunday</v>
      </c>
      <c r="D740" s="1" t="str">
        <f t="shared" si="46"/>
        <v>May</v>
      </c>
      <c r="E740" s="1" t="str">
        <f t="shared" si="47"/>
        <v>2023</v>
      </c>
      <c r="F740" t="s">
        <v>13</v>
      </c>
      <c r="G740" s="5">
        <v>1185.1951962000001</v>
      </c>
      <c r="H740" s="10">
        <v>6</v>
      </c>
      <c r="I740" s="2">
        <v>389.536705184097</v>
      </c>
      <c r="J740" t="s">
        <v>10</v>
      </c>
    </row>
    <row r="741" spans="1:10" x14ac:dyDescent="0.25">
      <c r="A741" t="s">
        <v>162</v>
      </c>
      <c r="B741" s="1">
        <f t="shared" si="44"/>
        <v>45074</v>
      </c>
      <c r="C741" s="1" t="str">
        <f t="shared" si="45"/>
        <v>Sunday</v>
      </c>
      <c r="D741" s="1" t="str">
        <f t="shared" si="46"/>
        <v>May</v>
      </c>
      <c r="E741" s="1" t="str">
        <f t="shared" si="47"/>
        <v>2023</v>
      </c>
      <c r="F741" t="s">
        <v>16</v>
      </c>
      <c r="G741" s="5">
        <v>111.2166718918</v>
      </c>
      <c r="H741" s="10">
        <v>16</v>
      </c>
      <c r="I741" s="2">
        <v>368.45474028856103</v>
      </c>
      <c r="J741" t="s">
        <v>14</v>
      </c>
    </row>
    <row r="742" spans="1:10" x14ac:dyDescent="0.25">
      <c r="A742" t="s">
        <v>163</v>
      </c>
      <c r="B742" s="1">
        <f t="shared" si="44"/>
        <v>45075</v>
      </c>
      <c r="C742" s="1" t="str">
        <f t="shared" si="45"/>
        <v>Monday</v>
      </c>
      <c r="D742" s="1" t="str">
        <f t="shared" si="46"/>
        <v>May</v>
      </c>
      <c r="E742" s="1" t="str">
        <f t="shared" si="47"/>
        <v>2023</v>
      </c>
      <c r="F742" t="s">
        <v>7</v>
      </c>
      <c r="G742" s="5">
        <v>771.55353568850001</v>
      </c>
      <c r="H742" s="10">
        <v>15</v>
      </c>
      <c r="I742" s="2">
        <v>263.81401465609798</v>
      </c>
      <c r="J742" t="s">
        <v>12</v>
      </c>
    </row>
    <row r="743" spans="1:10" x14ac:dyDescent="0.25">
      <c r="A743" t="s">
        <v>163</v>
      </c>
      <c r="B743" s="1">
        <f t="shared" si="44"/>
        <v>45075</v>
      </c>
      <c r="C743" s="1" t="str">
        <f t="shared" si="45"/>
        <v>Monday</v>
      </c>
      <c r="D743" s="1" t="str">
        <f t="shared" si="46"/>
        <v>May</v>
      </c>
      <c r="E743" s="1" t="str">
        <f t="shared" si="47"/>
        <v>2023</v>
      </c>
      <c r="F743" t="s">
        <v>9</v>
      </c>
      <c r="G743" s="5">
        <v>14.72616397529</v>
      </c>
      <c r="H743" s="10">
        <v>5</v>
      </c>
      <c r="I743" s="2">
        <v>186.99231728634001</v>
      </c>
      <c r="J743" t="s">
        <v>14</v>
      </c>
    </row>
    <row r="744" spans="1:10" x14ac:dyDescent="0.25">
      <c r="A744" t="s">
        <v>163</v>
      </c>
      <c r="B744" s="1">
        <f t="shared" si="44"/>
        <v>45075</v>
      </c>
      <c r="C744" s="1" t="str">
        <f t="shared" si="45"/>
        <v>Monday</v>
      </c>
      <c r="D744" s="1" t="str">
        <f t="shared" si="46"/>
        <v>May</v>
      </c>
      <c r="E744" s="1" t="str">
        <f t="shared" si="47"/>
        <v>2023</v>
      </c>
      <c r="F744" t="s">
        <v>11</v>
      </c>
      <c r="G744" s="5">
        <v>638.11867215158998</v>
      </c>
      <c r="H744" s="10">
        <v>7</v>
      </c>
      <c r="I744" s="2">
        <v>130.44974324859999</v>
      </c>
      <c r="J744" t="s">
        <v>12</v>
      </c>
    </row>
    <row r="745" spans="1:10" x14ac:dyDescent="0.25">
      <c r="A745" t="s">
        <v>163</v>
      </c>
      <c r="B745" s="1">
        <f t="shared" si="44"/>
        <v>45075</v>
      </c>
      <c r="C745" s="1" t="str">
        <f t="shared" si="45"/>
        <v>Monday</v>
      </c>
      <c r="D745" s="1" t="str">
        <f t="shared" si="46"/>
        <v>May</v>
      </c>
      <c r="E745" s="1" t="str">
        <f t="shared" si="47"/>
        <v>2023</v>
      </c>
      <c r="F745" t="s">
        <v>13</v>
      </c>
      <c r="G745" s="5">
        <v>615.91947719111795</v>
      </c>
      <c r="H745" s="10">
        <v>12</v>
      </c>
      <c r="I745" s="2">
        <v>61.842065050000002</v>
      </c>
      <c r="J745" t="s">
        <v>10</v>
      </c>
    </row>
    <row r="746" spans="1:10" x14ac:dyDescent="0.25">
      <c r="A746" t="s">
        <v>163</v>
      </c>
      <c r="B746" s="1">
        <f t="shared" si="44"/>
        <v>45075</v>
      </c>
      <c r="C746" s="1" t="str">
        <f t="shared" si="45"/>
        <v>Monday</v>
      </c>
      <c r="D746" s="1" t="str">
        <f t="shared" si="46"/>
        <v>May</v>
      </c>
      <c r="E746" s="1" t="str">
        <f t="shared" si="47"/>
        <v>2023</v>
      </c>
      <c r="F746" t="s">
        <v>16</v>
      </c>
      <c r="G746" s="5">
        <v>1177.3646696796</v>
      </c>
      <c r="H746" s="10">
        <v>4</v>
      </c>
      <c r="I746" s="2">
        <v>416.90570359999998</v>
      </c>
      <c r="J746" t="s">
        <v>8</v>
      </c>
    </row>
    <row r="747" spans="1:10" x14ac:dyDescent="0.25">
      <c r="A747" t="s">
        <v>164</v>
      </c>
      <c r="B747" s="1">
        <f t="shared" si="44"/>
        <v>45076</v>
      </c>
      <c r="C747" s="1" t="str">
        <f t="shared" si="45"/>
        <v>Tuesday</v>
      </c>
      <c r="D747" s="1" t="str">
        <f t="shared" si="46"/>
        <v>May</v>
      </c>
      <c r="E747" s="1" t="str">
        <f t="shared" si="47"/>
        <v>2023</v>
      </c>
      <c r="F747" t="s">
        <v>7</v>
      </c>
      <c r="G747" s="5">
        <v>1597.375784935</v>
      </c>
      <c r="H747" s="10">
        <v>11</v>
      </c>
      <c r="I747" s="2">
        <v>557.37063161745402</v>
      </c>
      <c r="J747" t="s">
        <v>10</v>
      </c>
    </row>
    <row r="748" spans="1:10" x14ac:dyDescent="0.25">
      <c r="A748" t="s">
        <v>164</v>
      </c>
      <c r="B748" s="1">
        <f t="shared" si="44"/>
        <v>45076</v>
      </c>
      <c r="C748" s="1" t="str">
        <f t="shared" si="45"/>
        <v>Tuesday</v>
      </c>
      <c r="D748" s="1" t="str">
        <f t="shared" si="46"/>
        <v>May</v>
      </c>
      <c r="E748" s="1" t="str">
        <f t="shared" si="47"/>
        <v>2023</v>
      </c>
      <c r="F748" t="s">
        <v>9</v>
      </c>
      <c r="G748" s="5">
        <v>933.39323695580003</v>
      </c>
      <c r="H748" s="10">
        <v>4</v>
      </c>
      <c r="I748" s="2">
        <v>345.07205730028699</v>
      </c>
      <c r="J748" t="s">
        <v>8</v>
      </c>
    </row>
    <row r="749" spans="1:10" x14ac:dyDescent="0.25">
      <c r="A749" t="s">
        <v>164</v>
      </c>
      <c r="B749" s="1">
        <f t="shared" si="44"/>
        <v>45076</v>
      </c>
      <c r="C749" s="1" t="str">
        <f t="shared" si="45"/>
        <v>Tuesday</v>
      </c>
      <c r="D749" s="1" t="str">
        <f t="shared" si="46"/>
        <v>May</v>
      </c>
      <c r="E749" s="1" t="str">
        <f t="shared" si="47"/>
        <v>2023</v>
      </c>
      <c r="F749" t="s">
        <v>11</v>
      </c>
      <c r="G749" s="5">
        <v>1446.959315862</v>
      </c>
      <c r="H749" s="10">
        <v>9</v>
      </c>
      <c r="I749" s="2">
        <v>551.60036229130299</v>
      </c>
      <c r="J749" t="s">
        <v>12</v>
      </c>
    </row>
    <row r="750" spans="1:10" x14ac:dyDescent="0.25">
      <c r="A750" t="s">
        <v>164</v>
      </c>
      <c r="B750" s="1">
        <f t="shared" si="44"/>
        <v>45076</v>
      </c>
      <c r="C750" s="1" t="str">
        <f t="shared" si="45"/>
        <v>Tuesday</v>
      </c>
      <c r="D750" s="1" t="str">
        <f t="shared" si="46"/>
        <v>May</v>
      </c>
      <c r="E750" s="1" t="str">
        <f t="shared" si="47"/>
        <v>2023</v>
      </c>
      <c r="F750" t="s">
        <v>13</v>
      </c>
      <c r="G750" s="5">
        <v>151.44486735461999</v>
      </c>
      <c r="H750" s="10">
        <v>12</v>
      </c>
      <c r="I750" s="2">
        <v>176.19956225368</v>
      </c>
      <c r="J750" t="s">
        <v>12</v>
      </c>
    </row>
    <row r="751" spans="1:10" x14ac:dyDescent="0.25">
      <c r="A751" t="s">
        <v>164</v>
      </c>
      <c r="B751" s="1">
        <f t="shared" si="44"/>
        <v>45076</v>
      </c>
      <c r="C751" s="1" t="str">
        <f t="shared" si="45"/>
        <v>Tuesday</v>
      </c>
      <c r="D751" s="1" t="str">
        <f t="shared" si="46"/>
        <v>May</v>
      </c>
      <c r="E751" s="1" t="str">
        <f t="shared" si="47"/>
        <v>2023</v>
      </c>
      <c r="F751" t="s">
        <v>16</v>
      </c>
      <c r="G751" s="5">
        <v>967.73226442326995</v>
      </c>
      <c r="H751" s="10">
        <v>8</v>
      </c>
      <c r="I751" s="2">
        <v>370.46464693150199</v>
      </c>
      <c r="J751" t="s">
        <v>8</v>
      </c>
    </row>
    <row r="752" spans="1:10" x14ac:dyDescent="0.25">
      <c r="A752" t="s">
        <v>165</v>
      </c>
      <c r="B752" s="1">
        <f t="shared" si="44"/>
        <v>45077</v>
      </c>
      <c r="C752" s="1" t="str">
        <f t="shared" si="45"/>
        <v>Wednesday</v>
      </c>
      <c r="D752" s="1" t="str">
        <f t="shared" si="46"/>
        <v>May</v>
      </c>
      <c r="E752" s="1" t="str">
        <f t="shared" si="47"/>
        <v>2023</v>
      </c>
      <c r="F752" t="s">
        <v>7</v>
      </c>
      <c r="G752" s="5">
        <v>1637.9367669195999</v>
      </c>
      <c r="H752" s="10">
        <v>11</v>
      </c>
      <c r="I752" s="2">
        <v>636.87741229754704</v>
      </c>
      <c r="J752" t="s">
        <v>14</v>
      </c>
    </row>
    <row r="753" spans="1:10" x14ac:dyDescent="0.25">
      <c r="A753" t="s">
        <v>165</v>
      </c>
      <c r="B753" s="1">
        <f t="shared" si="44"/>
        <v>45077</v>
      </c>
      <c r="C753" s="1" t="str">
        <f t="shared" si="45"/>
        <v>Wednesday</v>
      </c>
      <c r="D753" s="1" t="str">
        <f t="shared" si="46"/>
        <v>May</v>
      </c>
      <c r="E753" s="1" t="str">
        <f t="shared" si="47"/>
        <v>2023</v>
      </c>
      <c r="F753" t="s">
        <v>9</v>
      </c>
      <c r="G753" s="5">
        <v>1129.8934818309999</v>
      </c>
      <c r="H753" s="10">
        <v>9</v>
      </c>
      <c r="I753" s="2">
        <v>182.47135091089601</v>
      </c>
      <c r="J753" t="s">
        <v>12</v>
      </c>
    </row>
    <row r="754" spans="1:10" x14ac:dyDescent="0.25">
      <c r="A754" t="s">
        <v>165</v>
      </c>
      <c r="B754" s="1">
        <f t="shared" si="44"/>
        <v>45077</v>
      </c>
      <c r="C754" s="1" t="str">
        <f t="shared" si="45"/>
        <v>Wednesday</v>
      </c>
      <c r="D754" s="1" t="str">
        <f t="shared" si="46"/>
        <v>May</v>
      </c>
      <c r="E754" s="1" t="str">
        <f t="shared" si="47"/>
        <v>2023</v>
      </c>
      <c r="F754" t="s">
        <v>11</v>
      </c>
      <c r="G754" s="5">
        <v>887.44185928180002</v>
      </c>
      <c r="H754" s="10">
        <v>10</v>
      </c>
      <c r="I754" s="2">
        <v>172.646437778337</v>
      </c>
      <c r="J754" t="s">
        <v>10</v>
      </c>
    </row>
    <row r="755" spans="1:10" x14ac:dyDescent="0.25">
      <c r="A755" t="s">
        <v>165</v>
      </c>
      <c r="B755" s="1">
        <f t="shared" si="44"/>
        <v>45077</v>
      </c>
      <c r="C755" s="1" t="str">
        <f t="shared" si="45"/>
        <v>Wednesday</v>
      </c>
      <c r="D755" s="1" t="str">
        <f t="shared" si="46"/>
        <v>May</v>
      </c>
      <c r="E755" s="1" t="str">
        <f t="shared" si="47"/>
        <v>2023</v>
      </c>
      <c r="F755" t="s">
        <v>13</v>
      </c>
      <c r="G755" s="5">
        <v>94.685479731290002</v>
      </c>
      <c r="H755" s="10">
        <v>11</v>
      </c>
      <c r="I755" s="2">
        <v>356.89479698384997</v>
      </c>
      <c r="J755" t="s">
        <v>14</v>
      </c>
    </row>
    <row r="756" spans="1:10" x14ac:dyDescent="0.25">
      <c r="A756" t="s">
        <v>165</v>
      </c>
      <c r="B756" s="1">
        <f t="shared" si="44"/>
        <v>45077</v>
      </c>
      <c r="C756" s="1" t="str">
        <f t="shared" si="45"/>
        <v>Wednesday</v>
      </c>
      <c r="D756" s="1" t="str">
        <f t="shared" si="46"/>
        <v>May</v>
      </c>
      <c r="E756" s="1" t="str">
        <f t="shared" si="47"/>
        <v>2023</v>
      </c>
      <c r="F756" t="s">
        <v>16</v>
      </c>
      <c r="G756" s="5">
        <v>61.561934483610003</v>
      </c>
      <c r="H756" s="10">
        <v>11</v>
      </c>
      <c r="I756" s="2">
        <v>108.662619520889</v>
      </c>
      <c r="J756" t="s">
        <v>8</v>
      </c>
    </row>
    <row r="757" spans="1:10" x14ac:dyDescent="0.25">
      <c r="A757" t="s">
        <v>166</v>
      </c>
      <c r="B757" s="1">
        <f t="shared" si="44"/>
        <v>45078</v>
      </c>
      <c r="C757" s="1" t="str">
        <f t="shared" si="45"/>
        <v>Thursday</v>
      </c>
      <c r="D757" s="1" t="str">
        <f t="shared" si="46"/>
        <v>June</v>
      </c>
      <c r="E757" s="1" t="str">
        <f t="shared" si="47"/>
        <v>2023</v>
      </c>
      <c r="F757" t="s">
        <v>7</v>
      </c>
      <c r="G757" s="5">
        <v>1473.4324237344999</v>
      </c>
      <c r="H757" s="10">
        <v>15</v>
      </c>
      <c r="I757" s="2">
        <v>552.89911614575499</v>
      </c>
      <c r="J757" t="s">
        <v>14</v>
      </c>
    </row>
    <row r="758" spans="1:10" x14ac:dyDescent="0.25">
      <c r="A758" t="s">
        <v>166</v>
      </c>
      <c r="B758" s="1">
        <f t="shared" si="44"/>
        <v>45078</v>
      </c>
      <c r="C758" s="1" t="str">
        <f t="shared" si="45"/>
        <v>Thursday</v>
      </c>
      <c r="D758" s="1" t="str">
        <f t="shared" si="46"/>
        <v>June</v>
      </c>
      <c r="E758" s="1" t="str">
        <f t="shared" si="47"/>
        <v>2023</v>
      </c>
      <c r="F758" t="s">
        <v>9</v>
      </c>
      <c r="G758" s="5">
        <v>19.313342882330002</v>
      </c>
      <c r="H758" s="10">
        <v>9</v>
      </c>
      <c r="I758" s="2">
        <v>334.72611034020701</v>
      </c>
      <c r="J758" t="s">
        <v>12</v>
      </c>
    </row>
    <row r="759" spans="1:10" x14ac:dyDescent="0.25">
      <c r="A759" t="s">
        <v>166</v>
      </c>
      <c r="B759" s="1">
        <f t="shared" si="44"/>
        <v>45078</v>
      </c>
      <c r="C759" s="1" t="str">
        <f t="shared" si="45"/>
        <v>Thursday</v>
      </c>
      <c r="D759" s="1" t="str">
        <f t="shared" si="46"/>
        <v>June</v>
      </c>
      <c r="E759" s="1" t="str">
        <f t="shared" si="47"/>
        <v>2023</v>
      </c>
      <c r="F759" t="s">
        <v>11</v>
      </c>
      <c r="G759" s="5">
        <v>1523.5492899633</v>
      </c>
      <c r="H759" s="10">
        <v>17</v>
      </c>
      <c r="I759" s="2">
        <v>577.68570910000005</v>
      </c>
      <c r="J759" t="s">
        <v>14</v>
      </c>
    </row>
    <row r="760" spans="1:10" x14ac:dyDescent="0.25">
      <c r="A760" t="s">
        <v>166</v>
      </c>
      <c r="B760" s="1">
        <f t="shared" si="44"/>
        <v>45078</v>
      </c>
      <c r="C760" s="1" t="str">
        <f t="shared" si="45"/>
        <v>Thursday</v>
      </c>
      <c r="D760" s="1" t="str">
        <f t="shared" si="46"/>
        <v>June</v>
      </c>
      <c r="E760" s="1" t="str">
        <f t="shared" si="47"/>
        <v>2023</v>
      </c>
      <c r="F760" t="s">
        <v>13</v>
      </c>
      <c r="G760" s="5">
        <v>749.45712951993005</v>
      </c>
      <c r="H760" s="10">
        <v>1</v>
      </c>
      <c r="I760" s="2">
        <v>290.32487993945199</v>
      </c>
      <c r="J760" t="s">
        <v>10</v>
      </c>
    </row>
    <row r="761" spans="1:10" x14ac:dyDescent="0.25">
      <c r="A761" t="s">
        <v>166</v>
      </c>
      <c r="B761" s="1">
        <f t="shared" si="44"/>
        <v>45078</v>
      </c>
      <c r="C761" s="1" t="str">
        <f t="shared" si="45"/>
        <v>Thursday</v>
      </c>
      <c r="D761" s="1" t="str">
        <f t="shared" si="46"/>
        <v>June</v>
      </c>
      <c r="E761" s="1" t="str">
        <f t="shared" si="47"/>
        <v>2023</v>
      </c>
      <c r="F761" t="s">
        <v>16</v>
      </c>
      <c r="G761" s="5">
        <v>1626.8616165843</v>
      </c>
      <c r="H761" s="10">
        <v>2</v>
      </c>
      <c r="I761" s="2">
        <v>280.74423629575602</v>
      </c>
      <c r="J761" t="s">
        <v>8</v>
      </c>
    </row>
    <row r="762" spans="1:10" x14ac:dyDescent="0.25">
      <c r="A762" t="s">
        <v>167</v>
      </c>
      <c r="B762" s="1">
        <f t="shared" si="44"/>
        <v>45079</v>
      </c>
      <c r="C762" s="1" t="str">
        <f t="shared" si="45"/>
        <v>Friday</v>
      </c>
      <c r="D762" s="1" t="str">
        <f t="shared" si="46"/>
        <v>June</v>
      </c>
      <c r="E762" s="1" t="str">
        <f t="shared" si="47"/>
        <v>2023</v>
      </c>
      <c r="F762" t="s">
        <v>7</v>
      </c>
      <c r="G762" s="5">
        <v>1196.3962488724001</v>
      </c>
      <c r="H762" s="10">
        <v>18</v>
      </c>
      <c r="I762" s="2">
        <v>315.91787182394501</v>
      </c>
      <c r="J762" t="s">
        <v>12</v>
      </c>
    </row>
    <row r="763" spans="1:10" x14ac:dyDescent="0.25">
      <c r="A763" t="s">
        <v>167</v>
      </c>
      <c r="B763" s="1">
        <f t="shared" si="44"/>
        <v>45079</v>
      </c>
      <c r="C763" s="1" t="str">
        <f t="shared" si="45"/>
        <v>Friday</v>
      </c>
      <c r="D763" s="1" t="str">
        <f t="shared" si="46"/>
        <v>June</v>
      </c>
      <c r="E763" s="1" t="str">
        <f t="shared" si="47"/>
        <v>2023</v>
      </c>
      <c r="F763" t="s">
        <v>9</v>
      </c>
      <c r="G763" s="5">
        <v>155.39583277137999</v>
      </c>
      <c r="H763" s="10">
        <v>13</v>
      </c>
      <c r="I763" s="2">
        <v>250.740290827747</v>
      </c>
      <c r="J763" t="s">
        <v>10</v>
      </c>
    </row>
    <row r="764" spans="1:10" x14ac:dyDescent="0.25">
      <c r="A764" t="s">
        <v>167</v>
      </c>
      <c r="B764" s="1">
        <f t="shared" si="44"/>
        <v>45079</v>
      </c>
      <c r="C764" s="1" t="str">
        <f t="shared" si="45"/>
        <v>Friday</v>
      </c>
      <c r="D764" s="1" t="str">
        <f t="shared" si="46"/>
        <v>June</v>
      </c>
      <c r="E764" s="1" t="str">
        <f t="shared" si="47"/>
        <v>2023</v>
      </c>
      <c r="F764" t="s">
        <v>11</v>
      </c>
      <c r="G764" s="5">
        <v>939.77525934139999</v>
      </c>
      <c r="H764" s="10">
        <v>12</v>
      </c>
      <c r="I764" s="2">
        <v>347.06125732535799</v>
      </c>
      <c r="J764" t="s">
        <v>14</v>
      </c>
    </row>
    <row r="765" spans="1:10" x14ac:dyDescent="0.25">
      <c r="A765" t="s">
        <v>167</v>
      </c>
      <c r="B765" s="1">
        <f t="shared" si="44"/>
        <v>45079</v>
      </c>
      <c r="C765" s="1" t="str">
        <f t="shared" si="45"/>
        <v>Friday</v>
      </c>
      <c r="D765" s="1" t="str">
        <f t="shared" si="46"/>
        <v>June</v>
      </c>
      <c r="E765" s="1" t="str">
        <f t="shared" si="47"/>
        <v>2023</v>
      </c>
      <c r="F765" t="s">
        <v>13</v>
      </c>
      <c r="G765" s="5">
        <v>63.357315555</v>
      </c>
      <c r="H765" s="10">
        <v>1</v>
      </c>
      <c r="I765" s="2">
        <v>88.943237995650406</v>
      </c>
      <c r="J765" t="s">
        <v>10</v>
      </c>
    </row>
    <row r="766" spans="1:10" x14ac:dyDescent="0.25">
      <c r="A766" t="s">
        <v>167</v>
      </c>
      <c r="B766" s="1">
        <f t="shared" si="44"/>
        <v>45079</v>
      </c>
      <c r="C766" s="1" t="str">
        <f t="shared" si="45"/>
        <v>Friday</v>
      </c>
      <c r="D766" s="1" t="str">
        <f t="shared" si="46"/>
        <v>June</v>
      </c>
      <c r="E766" s="1" t="str">
        <f t="shared" si="47"/>
        <v>2023</v>
      </c>
      <c r="F766" t="s">
        <v>16</v>
      </c>
      <c r="G766" s="5">
        <v>1134.35852432553</v>
      </c>
      <c r="H766" s="10">
        <v>12</v>
      </c>
      <c r="I766" s="2">
        <v>440.34447194369102</v>
      </c>
      <c r="J766" t="s">
        <v>14</v>
      </c>
    </row>
    <row r="767" spans="1:10" x14ac:dyDescent="0.25">
      <c r="A767" t="s">
        <v>168</v>
      </c>
      <c r="B767" s="1">
        <f t="shared" si="44"/>
        <v>45080</v>
      </c>
      <c r="C767" s="1" t="str">
        <f t="shared" si="45"/>
        <v>Saturday</v>
      </c>
      <c r="D767" s="1" t="str">
        <f t="shared" si="46"/>
        <v>June</v>
      </c>
      <c r="E767" s="1" t="str">
        <f t="shared" si="47"/>
        <v>2023</v>
      </c>
      <c r="F767" t="s">
        <v>7</v>
      </c>
      <c r="G767" s="5">
        <v>1111.32821539417</v>
      </c>
      <c r="H767" s="10">
        <v>4</v>
      </c>
      <c r="I767" s="2">
        <v>428.33805950608797</v>
      </c>
      <c r="J767" t="s">
        <v>14</v>
      </c>
    </row>
    <row r="768" spans="1:10" x14ac:dyDescent="0.25">
      <c r="A768" t="s">
        <v>168</v>
      </c>
      <c r="B768" s="1">
        <f t="shared" si="44"/>
        <v>45080</v>
      </c>
      <c r="C768" s="1" t="str">
        <f t="shared" si="45"/>
        <v>Saturday</v>
      </c>
      <c r="D768" s="1" t="str">
        <f t="shared" si="46"/>
        <v>June</v>
      </c>
      <c r="E768" s="1" t="str">
        <f t="shared" si="47"/>
        <v>2023</v>
      </c>
      <c r="F768" t="s">
        <v>9</v>
      </c>
      <c r="G768" s="5">
        <v>1164.8597129760001</v>
      </c>
      <c r="H768" s="10">
        <v>12</v>
      </c>
      <c r="I768" s="2">
        <v>207.033519792383</v>
      </c>
      <c r="J768" t="s">
        <v>8</v>
      </c>
    </row>
    <row r="769" spans="1:10" x14ac:dyDescent="0.25">
      <c r="A769" t="s">
        <v>168</v>
      </c>
      <c r="B769" s="1">
        <f t="shared" si="44"/>
        <v>45080</v>
      </c>
      <c r="C769" s="1" t="str">
        <f t="shared" si="45"/>
        <v>Saturday</v>
      </c>
      <c r="D769" s="1" t="str">
        <f t="shared" si="46"/>
        <v>June</v>
      </c>
      <c r="E769" s="1" t="str">
        <f t="shared" si="47"/>
        <v>2023</v>
      </c>
      <c r="F769" t="s">
        <v>11</v>
      </c>
      <c r="G769" s="5">
        <v>966.21285122116399</v>
      </c>
      <c r="H769" s="10">
        <v>18</v>
      </c>
      <c r="I769" s="2">
        <v>268.67314624586697</v>
      </c>
      <c r="J769" t="s">
        <v>10</v>
      </c>
    </row>
    <row r="770" spans="1:10" x14ac:dyDescent="0.25">
      <c r="A770" t="s">
        <v>168</v>
      </c>
      <c r="B770" s="1">
        <f t="shared" si="44"/>
        <v>45080</v>
      </c>
      <c r="C770" s="1" t="str">
        <f t="shared" si="45"/>
        <v>Saturday</v>
      </c>
      <c r="D770" s="1" t="str">
        <f t="shared" si="46"/>
        <v>June</v>
      </c>
      <c r="E770" s="1" t="str">
        <f t="shared" si="47"/>
        <v>2023</v>
      </c>
      <c r="F770" t="s">
        <v>13</v>
      </c>
      <c r="G770" s="5">
        <v>753.27526823540995</v>
      </c>
      <c r="H770" s="10">
        <v>17</v>
      </c>
      <c r="I770" s="2">
        <v>292.29960844811302</v>
      </c>
      <c r="J770" t="s">
        <v>8</v>
      </c>
    </row>
    <row r="771" spans="1:10" x14ac:dyDescent="0.25">
      <c r="A771" t="s">
        <v>168</v>
      </c>
      <c r="B771" s="1">
        <f t="shared" ref="B771:B834" si="48">DATE(VALUE(RIGHT(A771,4)),VALUE(LEFT(A771,FIND("/",A771)-1)),VALUE(MID(A771,FIND("/",A771)+1,FIND("/",A771,FIND("/",A771)+1)-FIND("/",A771)-1)))</f>
        <v>45080</v>
      </c>
      <c r="C771" s="1" t="str">
        <f t="shared" ref="C771:C834" si="49">TEXT(B771,"DDDD")</f>
        <v>Saturday</v>
      </c>
      <c r="D771" s="1" t="str">
        <f t="shared" ref="D771:D834" si="50">TEXT(B771,"MMMM")</f>
        <v>June</v>
      </c>
      <c r="E771" s="1" t="str">
        <f t="shared" ref="E771:E834" si="51">TEXT(B771,"YYYY")</f>
        <v>2023</v>
      </c>
      <c r="F771" t="s">
        <v>16</v>
      </c>
      <c r="G771" s="5">
        <v>1395.8765160999999</v>
      </c>
      <c r="H771" s="10">
        <v>16</v>
      </c>
      <c r="I771" s="2">
        <v>548.53782320144001</v>
      </c>
      <c r="J771" t="s">
        <v>10</v>
      </c>
    </row>
    <row r="772" spans="1:10" x14ac:dyDescent="0.25">
      <c r="A772" t="s">
        <v>169</v>
      </c>
      <c r="B772" s="1">
        <f t="shared" si="48"/>
        <v>45081</v>
      </c>
      <c r="C772" s="1" t="str">
        <f t="shared" si="49"/>
        <v>Sunday</v>
      </c>
      <c r="D772" s="1" t="str">
        <f t="shared" si="50"/>
        <v>June</v>
      </c>
      <c r="E772" s="1" t="str">
        <f t="shared" si="51"/>
        <v>2023</v>
      </c>
      <c r="F772" t="s">
        <v>7</v>
      </c>
      <c r="G772" s="5">
        <v>1314.9952877714099</v>
      </c>
      <c r="H772" s="10">
        <v>4</v>
      </c>
      <c r="I772" s="2">
        <v>229.07493371053701</v>
      </c>
      <c r="J772" t="s">
        <v>8</v>
      </c>
    </row>
    <row r="773" spans="1:10" x14ac:dyDescent="0.25">
      <c r="A773" t="s">
        <v>169</v>
      </c>
      <c r="B773" s="1">
        <f t="shared" si="48"/>
        <v>45081</v>
      </c>
      <c r="C773" s="1" t="str">
        <f t="shared" si="49"/>
        <v>Sunday</v>
      </c>
      <c r="D773" s="1" t="str">
        <f t="shared" si="50"/>
        <v>June</v>
      </c>
      <c r="E773" s="1" t="str">
        <f t="shared" si="51"/>
        <v>2023</v>
      </c>
      <c r="F773" t="s">
        <v>9</v>
      </c>
      <c r="G773" s="5">
        <v>94.665818699178999</v>
      </c>
      <c r="H773" s="10">
        <v>11</v>
      </c>
      <c r="I773" s="2">
        <v>271.38178230650999</v>
      </c>
      <c r="J773" t="s">
        <v>10</v>
      </c>
    </row>
    <row r="774" spans="1:10" x14ac:dyDescent="0.25">
      <c r="A774" t="s">
        <v>169</v>
      </c>
      <c r="B774" s="1">
        <f t="shared" si="48"/>
        <v>45081</v>
      </c>
      <c r="C774" s="1" t="str">
        <f t="shared" si="49"/>
        <v>Sunday</v>
      </c>
      <c r="D774" s="1" t="str">
        <f t="shared" si="50"/>
        <v>June</v>
      </c>
      <c r="E774" s="1" t="str">
        <f t="shared" si="51"/>
        <v>2023</v>
      </c>
      <c r="F774" t="s">
        <v>11</v>
      </c>
      <c r="G774" s="5">
        <v>191.843194536</v>
      </c>
      <c r="H774" s="10">
        <v>5</v>
      </c>
      <c r="I774" s="2">
        <v>112.140903815011</v>
      </c>
      <c r="J774" t="s">
        <v>8</v>
      </c>
    </row>
    <row r="775" spans="1:10" x14ac:dyDescent="0.25">
      <c r="A775" t="s">
        <v>169</v>
      </c>
      <c r="B775" s="1">
        <f t="shared" si="48"/>
        <v>45081</v>
      </c>
      <c r="C775" s="1" t="str">
        <f t="shared" si="49"/>
        <v>Sunday</v>
      </c>
      <c r="D775" s="1" t="str">
        <f t="shared" si="50"/>
        <v>June</v>
      </c>
      <c r="E775" s="1" t="str">
        <f t="shared" si="51"/>
        <v>2023</v>
      </c>
      <c r="F775" t="s">
        <v>13</v>
      </c>
      <c r="G775" s="5">
        <v>1316.3998936129501</v>
      </c>
      <c r="H775" s="10">
        <v>10</v>
      </c>
      <c r="I775" s="2">
        <v>449.45306661287401</v>
      </c>
      <c r="J775" t="s">
        <v>8</v>
      </c>
    </row>
    <row r="776" spans="1:10" x14ac:dyDescent="0.25">
      <c r="A776" t="s">
        <v>169</v>
      </c>
      <c r="B776" s="1">
        <f t="shared" si="48"/>
        <v>45081</v>
      </c>
      <c r="C776" s="1" t="str">
        <f t="shared" si="49"/>
        <v>Sunday</v>
      </c>
      <c r="D776" s="1" t="str">
        <f t="shared" si="50"/>
        <v>June</v>
      </c>
      <c r="E776" s="1" t="str">
        <f t="shared" si="51"/>
        <v>2023</v>
      </c>
      <c r="F776" t="s">
        <v>16</v>
      </c>
      <c r="G776" s="5">
        <v>791.29858664553899</v>
      </c>
      <c r="H776" s="10">
        <v>2</v>
      </c>
      <c r="I776" s="2">
        <v>201.310384303896</v>
      </c>
      <c r="J776" t="s">
        <v>14</v>
      </c>
    </row>
    <row r="777" spans="1:10" x14ac:dyDescent="0.25">
      <c r="A777" t="s">
        <v>170</v>
      </c>
      <c r="B777" s="1">
        <f t="shared" si="48"/>
        <v>45082</v>
      </c>
      <c r="C777" s="1" t="str">
        <f t="shared" si="49"/>
        <v>Monday</v>
      </c>
      <c r="D777" s="1" t="str">
        <f t="shared" si="50"/>
        <v>June</v>
      </c>
      <c r="E777" s="1" t="str">
        <f t="shared" si="51"/>
        <v>2023</v>
      </c>
      <c r="F777" t="s">
        <v>7</v>
      </c>
      <c r="G777" s="5">
        <v>674.74258269331995</v>
      </c>
      <c r="H777" s="10">
        <v>5</v>
      </c>
      <c r="I777" s="2">
        <v>117.231282202128</v>
      </c>
      <c r="J777" t="s">
        <v>8</v>
      </c>
    </row>
    <row r="778" spans="1:10" x14ac:dyDescent="0.25">
      <c r="A778" t="s">
        <v>170</v>
      </c>
      <c r="B778" s="1">
        <f t="shared" si="48"/>
        <v>45082</v>
      </c>
      <c r="C778" s="1" t="str">
        <f t="shared" si="49"/>
        <v>Monday</v>
      </c>
      <c r="D778" s="1" t="str">
        <f t="shared" si="50"/>
        <v>June</v>
      </c>
      <c r="E778" s="1" t="str">
        <f t="shared" si="51"/>
        <v>2023</v>
      </c>
      <c r="F778" t="s">
        <v>9</v>
      </c>
      <c r="G778" s="5">
        <v>1629.91653674995</v>
      </c>
      <c r="H778" s="10">
        <v>10</v>
      </c>
      <c r="I778" s="2">
        <v>603.74541822406695</v>
      </c>
      <c r="J778" t="s">
        <v>12</v>
      </c>
    </row>
    <row r="779" spans="1:10" x14ac:dyDescent="0.25">
      <c r="A779" t="s">
        <v>170</v>
      </c>
      <c r="B779" s="1">
        <f t="shared" si="48"/>
        <v>45082</v>
      </c>
      <c r="C779" s="1" t="str">
        <f t="shared" si="49"/>
        <v>Monday</v>
      </c>
      <c r="D779" s="1" t="str">
        <f t="shared" si="50"/>
        <v>June</v>
      </c>
      <c r="E779" s="1" t="str">
        <f t="shared" si="51"/>
        <v>2023</v>
      </c>
      <c r="F779" t="s">
        <v>11</v>
      </c>
      <c r="G779" s="5">
        <v>925.89228979999996</v>
      </c>
      <c r="H779" s="10">
        <v>2</v>
      </c>
      <c r="I779" s="2">
        <v>368.48337714611898</v>
      </c>
      <c r="J779" t="s">
        <v>14</v>
      </c>
    </row>
    <row r="780" spans="1:10" x14ac:dyDescent="0.25">
      <c r="A780" t="s">
        <v>170</v>
      </c>
      <c r="B780" s="1">
        <f t="shared" si="48"/>
        <v>45082</v>
      </c>
      <c r="C780" s="1" t="str">
        <f t="shared" si="49"/>
        <v>Monday</v>
      </c>
      <c r="D780" s="1" t="str">
        <f t="shared" si="50"/>
        <v>June</v>
      </c>
      <c r="E780" s="1" t="str">
        <f t="shared" si="51"/>
        <v>2023</v>
      </c>
      <c r="F780" t="s">
        <v>13</v>
      </c>
      <c r="G780" s="5">
        <v>129.54289519192599</v>
      </c>
      <c r="H780" s="10">
        <v>3</v>
      </c>
      <c r="I780" s="2">
        <v>28.2063404249743</v>
      </c>
      <c r="J780" t="s">
        <v>8</v>
      </c>
    </row>
    <row r="781" spans="1:10" x14ac:dyDescent="0.25">
      <c r="A781" t="s">
        <v>170</v>
      </c>
      <c r="B781" s="1">
        <f t="shared" si="48"/>
        <v>45082</v>
      </c>
      <c r="C781" s="1" t="str">
        <f t="shared" si="49"/>
        <v>Monday</v>
      </c>
      <c r="D781" s="1" t="str">
        <f t="shared" si="50"/>
        <v>June</v>
      </c>
      <c r="E781" s="1" t="str">
        <f t="shared" si="51"/>
        <v>2023</v>
      </c>
      <c r="F781" t="s">
        <v>16</v>
      </c>
      <c r="G781" s="5">
        <v>16.112534524200001</v>
      </c>
      <c r="H781" s="10">
        <v>3</v>
      </c>
      <c r="I781" s="2">
        <v>187.71033956899501</v>
      </c>
      <c r="J781" t="s">
        <v>10</v>
      </c>
    </row>
    <row r="782" spans="1:10" x14ac:dyDescent="0.25">
      <c r="A782" t="s">
        <v>171</v>
      </c>
      <c r="B782" s="1">
        <f t="shared" si="48"/>
        <v>45083</v>
      </c>
      <c r="C782" s="1" t="str">
        <f t="shared" si="49"/>
        <v>Tuesday</v>
      </c>
      <c r="D782" s="1" t="str">
        <f t="shared" si="50"/>
        <v>June</v>
      </c>
      <c r="E782" s="1" t="str">
        <f t="shared" si="51"/>
        <v>2023</v>
      </c>
      <c r="F782" t="s">
        <v>7</v>
      </c>
      <c r="G782" s="5">
        <v>44.381459181499999</v>
      </c>
      <c r="H782" s="10">
        <v>18</v>
      </c>
      <c r="I782" s="2">
        <v>175.01750184321099</v>
      </c>
      <c r="J782" t="s">
        <v>8</v>
      </c>
    </row>
    <row r="783" spans="1:10" x14ac:dyDescent="0.25">
      <c r="A783" t="s">
        <v>171</v>
      </c>
      <c r="B783" s="1">
        <f t="shared" si="48"/>
        <v>45083</v>
      </c>
      <c r="C783" s="1" t="str">
        <f t="shared" si="49"/>
        <v>Tuesday</v>
      </c>
      <c r="D783" s="1" t="str">
        <f t="shared" si="50"/>
        <v>June</v>
      </c>
      <c r="E783" s="1" t="str">
        <f t="shared" si="51"/>
        <v>2023</v>
      </c>
      <c r="F783" t="s">
        <v>9</v>
      </c>
      <c r="G783" s="5">
        <v>132.25416951700001</v>
      </c>
      <c r="H783" s="10">
        <v>18</v>
      </c>
      <c r="I783" s="2">
        <v>386.75556444144001</v>
      </c>
      <c r="J783" t="s">
        <v>12</v>
      </c>
    </row>
    <row r="784" spans="1:10" x14ac:dyDescent="0.25">
      <c r="A784" t="s">
        <v>171</v>
      </c>
      <c r="B784" s="1">
        <f t="shared" si="48"/>
        <v>45083</v>
      </c>
      <c r="C784" s="1" t="str">
        <f t="shared" si="49"/>
        <v>Tuesday</v>
      </c>
      <c r="D784" s="1" t="str">
        <f t="shared" si="50"/>
        <v>June</v>
      </c>
      <c r="E784" s="1" t="str">
        <f t="shared" si="51"/>
        <v>2023</v>
      </c>
      <c r="F784" t="s">
        <v>11</v>
      </c>
      <c r="G784" s="5">
        <v>1146.149332665</v>
      </c>
      <c r="H784" s="10">
        <v>5</v>
      </c>
      <c r="I784" s="2">
        <v>126.99981656456301</v>
      </c>
      <c r="J784" t="s">
        <v>8</v>
      </c>
    </row>
    <row r="785" spans="1:10" x14ac:dyDescent="0.25">
      <c r="A785" t="s">
        <v>171</v>
      </c>
      <c r="B785" s="1">
        <f t="shared" si="48"/>
        <v>45083</v>
      </c>
      <c r="C785" s="1" t="str">
        <f t="shared" si="49"/>
        <v>Tuesday</v>
      </c>
      <c r="D785" s="1" t="str">
        <f t="shared" si="50"/>
        <v>June</v>
      </c>
      <c r="E785" s="1" t="str">
        <f t="shared" si="51"/>
        <v>2023</v>
      </c>
      <c r="F785" t="s">
        <v>13</v>
      </c>
      <c r="G785" s="5">
        <v>1197.2573244553</v>
      </c>
      <c r="H785" s="10">
        <v>2</v>
      </c>
      <c r="I785" s="2">
        <v>363.80457059925698</v>
      </c>
      <c r="J785" t="s">
        <v>8</v>
      </c>
    </row>
    <row r="786" spans="1:10" x14ac:dyDescent="0.25">
      <c r="A786" t="s">
        <v>171</v>
      </c>
      <c r="B786" s="1">
        <f t="shared" si="48"/>
        <v>45083</v>
      </c>
      <c r="C786" s="1" t="str">
        <f t="shared" si="49"/>
        <v>Tuesday</v>
      </c>
      <c r="D786" s="1" t="str">
        <f t="shared" si="50"/>
        <v>June</v>
      </c>
      <c r="E786" s="1" t="str">
        <f t="shared" si="51"/>
        <v>2023</v>
      </c>
      <c r="F786" t="s">
        <v>16</v>
      </c>
      <c r="G786" s="5">
        <v>131.76833593456999</v>
      </c>
      <c r="H786" s="10">
        <v>11</v>
      </c>
      <c r="I786" s="2">
        <v>277.54299214386901</v>
      </c>
      <c r="J786" t="s">
        <v>8</v>
      </c>
    </row>
    <row r="787" spans="1:10" x14ac:dyDescent="0.25">
      <c r="A787" t="s">
        <v>172</v>
      </c>
      <c r="B787" s="1">
        <f t="shared" si="48"/>
        <v>45084</v>
      </c>
      <c r="C787" s="1" t="str">
        <f t="shared" si="49"/>
        <v>Wednesday</v>
      </c>
      <c r="D787" s="1" t="str">
        <f t="shared" si="50"/>
        <v>June</v>
      </c>
      <c r="E787" s="1" t="str">
        <f t="shared" si="51"/>
        <v>2023</v>
      </c>
      <c r="F787" t="s">
        <v>7</v>
      </c>
      <c r="G787" s="5">
        <v>1175.3238941417401</v>
      </c>
      <c r="H787" s="10">
        <v>3</v>
      </c>
      <c r="I787" s="2">
        <v>232.59839604950099</v>
      </c>
      <c r="J787" t="s">
        <v>10</v>
      </c>
    </row>
    <row r="788" spans="1:10" x14ac:dyDescent="0.25">
      <c r="A788" t="s">
        <v>172</v>
      </c>
      <c r="B788" s="1">
        <f t="shared" si="48"/>
        <v>45084</v>
      </c>
      <c r="C788" s="1" t="str">
        <f t="shared" si="49"/>
        <v>Wednesday</v>
      </c>
      <c r="D788" s="1" t="str">
        <f t="shared" si="50"/>
        <v>June</v>
      </c>
      <c r="E788" s="1" t="str">
        <f t="shared" si="51"/>
        <v>2023</v>
      </c>
      <c r="F788" t="s">
        <v>9</v>
      </c>
      <c r="G788" s="5">
        <v>73.364785536100001</v>
      </c>
      <c r="H788" s="10">
        <v>15</v>
      </c>
      <c r="I788" s="2">
        <v>271.05829010000002</v>
      </c>
      <c r="J788" t="s">
        <v>12</v>
      </c>
    </row>
    <row r="789" spans="1:10" x14ac:dyDescent="0.25">
      <c r="A789" t="s">
        <v>172</v>
      </c>
      <c r="B789" s="1">
        <f t="shared" si="48"/>
        <v>45084</v>
      </c>
      <c r="C789" s="1" t="str">
        <f t="shared" si="49"/>
        <v>Wednesday</v>
      </c>
      <c r="D789" s="1" t="str">
        <f t="shared" si="50"/>
        <v>June</v>
      </c>
      <c r="E789" s="1" t="str">
        <f t="shared" si="51"/>
        <v>2023</v>
      </c>
      <c r="F789" t="s">
        <v>11</v>
      </c>
      <c r="G789" s="5">
        <v>6.9591229999999999</v>
      </c>
      <c r="H789" s="10">
        <v>8</v>
      </c>
      <c r="I789" s="2">
        <v>132.36907389263101</v>
      </c>
      <c r="J789" t="s">
        <v>12</v>
      </c>
    </row>
    <row r="790" spans="1:10" x14ac:dyDescent="0.25">
      <c r="A790" t="s">
        <v>172</v>
      </c>
      <c r="B790" s="1">
        <f t="shared" si="48"/>
        <v>45084</v>
      </c>
      <c r="C790" s="1" t="str">
        <f t="shared" si="49"/>
        <v>Wednesday</v>
      </c>
      <c r="D790" s="1" t="str">
        <f t="shared" si="50"/>
        <v>June</v>
      </c>
      <c r="E790" s="1" t="str">
        <f t="shared" si="51"/>
        <v>2023</v>
      </c>
      <c r="F790" t="s">
        <v>13</v>
      </c>
      <c r="G790" s="5">
        <v>961.73526388673895</v>
      </c>
      <c r="H790" s="10">
        <v>15</v>
      </c>
      <c r="I790" s="2">
        <v>253.274646233997</v>
      </c>
      <c r="J790" t="s">
        <v>8</v>
      </c>
    </row>
    <row r="791" spans="1:10" x14ac:dyDescent="0.25">
      <c r="A791" t="s">
        <v>172</v>
      </c>
      <c r="B791" s="1">
        <f t="shared" si="48"/>
        <v>45084</v>
      </c>
      <c r="C791" s="1" t="str">
        <f t="shared" si="49"/>
        <v>Wednesday</v>
      </c>
      <c r="D791" s="1" t="str">
        <f t="shared" si="50"/>
        <v>June</v>
      </c>
      <c r="E791" s="1" t="str">
        <f t="shared" si="51"/>
        <v>2023</v>
      </c>
      <c r="F791" t="s">
        <v>16</v>
      </c>
      <c r="G791" s="5">
        <v>1453.3464797419999</v>
      </c>
      <c r="H791" s="10">
        <v>8</v>
      </c>
      <c r="I791" s="2">
        <v>226.49063339616299</v>
      </c>
      <c r="J791" t="s">
        <v>10</v>
      </c>
    </row>
    <row r="792" spans="1:10" x14ac:dyDescent="0.25">
      <c r="A792" t="s">
        <v>173</v>
      </c>
      <c r="B792" s="1">
        <f t="shared" si="48"/>
        <v>45085</v>
      </c>
      <c r="C792" s="1" t="str">
        <f t="shared" si="49"/>
        <v>Thursday</v>
      </c>
      <c r="D792" s="1" t="str">
        <f t="shared" si="50"/>
        <v>June</v>
      </c>
      <c r="E792" s="1" t="str">
        <f t="shared" si="51"/>
        <v>2023</v>
      </c>
      <c r="F792" t="s">
        <v>7</v>
      </c>
      <c r="G792" s="5">
        <v>87.972388714160004</v>
      </c>
      <c r="H792" s="10">
        <v>14</v>
      </c>
      <c r="I792" s="2">
        <v>105.690048477697</v>
      </c>
      <c r="J792" t="s">
        <v>14</v>
      </c>
    </row>
    <row r="793" spans="1:10" x14ac:dyDescent="0.25">
      <c r="A793" t="s">
        <v>173</v>
      </c>
      <c r="B793" s="1">
        <f t="shared" si="48"/>
        <v>45085</v>
      </c>
      <c r="C793" s="1" t="str">
        <f t="shared" si="49"/>
        <v>Thursday</v>
      </c>
      <c r="D793" s="1" t="str">
        <f t="shared" si="50"/>
        <v>June</v>
      </c>
      <c r="E793" s="1" t="str">
        <f t="shared" si="51"/>
        <v>2023</v>
      </c>
      <c r="F793" t="s">
        <v>9</v>
      </c>
      <c r="G793" s="5">
        <v>125.965946511</v>
      </c>
      <c r="H793" s="10">
        <v>15</v>
      </c>
      <c r="I793" s="2">
        <v>373.275059</v>
      </c>
      <c r="J793" t="s">
        <v>8</v>
      </c>
    </row>
    <row r="794" spans="1:10" x14ac:dyDescent="0.25">
      <c r="A794" t="s">
        <v>173</v>
      </c>
      <c r="B794" s="1">
        <f t="shared" si="48"/>
        <v>45085</v>
      </c>
      <c r="C794" s="1" t="str">
        <f t="shared" si="49"/>
        <v>Thursday</v>
      </c>
      <c r="D794" s="1" t="str">
        <f t="shared" si="50"/>
        <v>June</v>
      </c>
      <c r="E794" s="1" t="str">
        <f t="shared" si="51"/>
        <v>2023</v>
      </c>
      <c r="F794" t="s">
        <v>11</v>
      </c>
      <c r="G794" s="5">
        <v>1379.6888667568001</v>
      </c>
      <c r="H794" s="10">
        <v>8</v>
      </c>
      <c r="I794" s="2">
        <v>157.687919725688</v>
      </c>
      <c r="J794" t="s">
        <v>14</v>
      </c>
    </row>
    <row r="795" spans="1:10" x14ac:dyDescent="0.25">
      <c r="A795" t="s">
        <v>173</v>
      </c>
      <c r="B795" s="1">
        <f t="shared" si="48"/>
        <v>45085</v>
      </c>
      <c r="C795" s="1" t="str">
        <f t="shared" si="49"/>
        <v>Thursday</v>
      </c>
      <c r="D795" s="1" t="str">
        <f t="shared" si="50"/>
        <v>June</v>
      </c>
      <c r="E795" s="1" t="str">
        <f t="shared" si="51"/>
        <v>2023</v>
      </c>
      <c r="F795" t="s">
        <v>13</v>
      </c>
      <c r="G795" s="5">
        <v>889.36121899664897</v>
      </c>
      <c r="H795" s="10">
        <v>2</v>
      </c>
      <c r="I795" s="2">
        <v>295.420776134579</v>
      </c>
      <c r="J795" t="s">
        <v>14</v>
      </c>
    </row>
    <row r="796" spans="1:10" x14ac:dyDescent="0.25">
      <c r="A796" t="s">
        <v>173</v>
      </c>
      <c r="B796" s="1">
        <f t="shared" si="48"/>
        <v>45085</v>
      </c>
      <c r="C796" s="1" t="str">
        <f t="shared" si="49"/>
        <v>Thursday</v>
      </c>
      <c r="D796" s="1" t="str">
        <f t="shared" si="50"/>
        <v>June</v>
      </c>
      <c r="E796" s="1" t="str">
        <f t="shared" si="51"/>
        <v>2023</v>
      </c>
      <c r="F796" t="s">
        <v>16</v>
      </c>
      <c r="G796" s="5">
        <v>714.34635797819499</v>
      </c>
      <c r="H796" s="10">
        <v>17</v>
      </c>
      <c r="I796" s="2">
        <v>186.964704903675</v>
      </c>
      <c r="J796" t="s">
        <v>14</v>
      </c>
    </row>
    <row r="797" spans="1:10" x14ac:dyDescent="0.25">
      <c r="A797" t="s">
        <v>174</v>
      </c>
      <c r="B797" s="1">
        <f t="shared" si="48"/>
        <v>45086</v>
      </c>
      <c r="C797" s="1" t="str">
        <f t="shared" si="49"/>
        <v>Friday</v>
      </c>
      <c r="D797" s="1" t="str">
        <f t="shared" si="50"/>
        <v>June</v>
      </c>
      <c r="E797" s="1" t="str">
        <f t="shared" si="51"/>
        <v>2023</v>
      </c>
      <c r="F797" t="s">
        <v>7</v>
      </c>
      <c r="G797" s="5">
        <v>1126.7965196548</v>
      </c>
      <c r="H797" s="10">
        <v>13</v>
      </c>
      <c r="I797" s="2">
        <v>125.380144135336</v>
      </c>
      <c r="J797" t="s">
        <v>12</v>
      </c>
    </row>
    <row r="798" spans="1:10" x14ac:dyDescent="0.25">
      <c r="A798" t="s">
        <v>174</v>
      </c>
      <c r="B798" s="1">
        <f t="shared" si="48"/>
        <v>45086</v>
      </c>
      <c r="C798" s="1" t="str">
        <f t="shared" si="49"/>
        <v>Friday</v>
      </c>
      <c r="D798" s="1" t="str">
        <f t="shared" si="50"/>
        <v>June</v>
      </c>
      <c r="E798" s="1" t="str">
        <f t="shared" si="51"/>
        <v>2023</v>
      </c>
      <c r="F798" t="s">
        <v>9</v>
      </c>
      <c r="G798" s="5">
        <v>15.7686263929</v>
      </c>
      <c r="H798" s="10">
        <v>6</v>
      </c>
      <c r="I798" s="2">
        <v>174.67494967678499</v>
      </c>
      <c r="J798" t="s">
        <v>12</v>
      </c>
    </row>
    <row r="799" spans="1:10" x14ac:dyDescent="0.25">
      <c r="A799" t="s">
        <v>174</v>
      </c>
      <c r="B799" s="1">
        <f t="shared" si="48"/>
        <v>45086</v>
      </c>
      <c r="C799" s="1" t="str">
        <f t="shared" si="49"/>
        <v>Friday</v>
      </c>
      <c r="D799" s="1" t="str">
        <f t="shared" si="50"/>
        <v>June</v>
      </c>
      <c r="E799" s="1" t="str">
        <f t="shared" si="51"/>
        <v>2023</v>
      </c>
      <c r="F799" t="s">
        <v>11</v>
      </c>
      <c r="G799" s="5">
        <v>173.3225899713</v>
      </c>
      <c r="H799" s="10">
        <v>8</v>
      </c>
      <c r="I799" s="2">
        <v>290.41318960000001</v>
      </c>
      <c r="J799" t="s">
        <v>12</v>
      </c>
    </row>
    <row r="800" spans="1:10" x14ac:dyDescent="0.25">
      <c r="A800" t="s">
        <v>174</v>
      </c>
      <c r="B800" s="1">
        <f t="shared" si="48"/>
        <v>45086</v>
      </c>
      <c r="C800" s="1" t="str">
        <f t="shared" si="49"/>
        <v>Friday</v>
      </c>
      <c r="D800" s="1" t="str">
        <f t="shared" si="50"/>
        <v>June</v>
      </c>
      <c r="E800" s="1" t="str">
        <f t="shared" si="51"/>
        <v>2023</v>
      </c>
      <c r="F800" t="s">
        <v>13</v>
      </c>
      <c r="G800" s="5">
        <v>991.57295977593003</v>
      </c>
      <c r="H800" s="10">
        <v>19</v>
      </c>
      <c r="I800" s="2">
        <v>114.596361434513</v>
      </c>
      <c r="J800" t="s">
        <v>14</v>
      </c>
    </row>
    <row r="801" spans="1:10" x14ac:dyDescent="0.25">
      <c r="A801" t="s">
        <v>174</v>
      </c>
      <c r="B801" s="1">
        <f t="shared" si="48"/>
        <v>45086</v>
      </c>
      <c r="C801" s="1" t="str">
        <f t="shared" si="49"/>
        <v>Friday</v>
      </c>
      <c r="D801" s="1" t="str">
        <f t="shared" si="50"/>
        <v>June</v>
      </c>
      <c r="E801" s="1" t="str">
        <f t="shared" si="51"/>
        <v>2023</v>
      </c>
      <c r="F801" t="s">
        <v>16</v>
      </c>
      <c r="G801" s="5">
        <v>933.96289590000003</v>
      </c>
      <c r="H801" s="10">
        <v>12</v>
      </c>
      <c r="I801" s="2">
        <v>156.24082694629499</v>
      </c>
      <c r="J801" t="s">
        <v>10</v>
      </c>
    </row>
    <row r="802" spans="1:10" x14ac:dyDescent="0.25">
      <c r="A802" t="s">
        <v>175</v>
      </c>
      <c r="B802" s="1">
        <f t="shared" si="48"/>
        <v>45087</v>
      </c>
      <c r="C802" s="1" t="str">
        <f t="shared" si="49"/>
        <v>Saturday</v>
      </c>
      <c r="D802" s="1" t="str">
        <f t="shared" si="50"/>
        <v>June</v>
      </c>
      <c r="E802" s="1" t="str">
        <f t="shared" si="51"/>
        <v>2023</v>
      </c>
      <c r="F802" t="s">
        <v>7</v>
      </c>
      <c r="G802" s="5">
        <v>674.85674539490003</v>
      </c>
      <c r="H802" s="10">
        <v>13</v>
      </c>
      <c r="I802" s="2">
        <v>153.049923772466</v>
      </c>
      <c r="J802" t="s">
        <v>12</v>
      </c>
    </row>
    <row r="803" spans="1:10" x14ac:dyDescent="0.25">
      <c r="A803" t="s">
        <v>175</v>
      </c>
      <c r="B803" s="1">
        <f t="shared" si="48"/>
        <v>45087</v>
      </c>
      <c r="C803" s="1" t="str">
        <f t="shared" si="49"/>
        <v>Saturday</v>
      </c>
      <c r="D803" s="1" t="str">
        <f t="shared" si="50"/>
        <v>June</v>
      </c>
      <c r="E803" s="1" t="str">
        <f t="shared" si="51"/>
        <v>2023</v>
      </c>
      <c r="F803" t="s">
        <v>9</v>
      </c>
      <c r="G803" s="5">
        <v>1544.236157366</v>
      </c>
      <c r="H803" s="10">
        <v>5</v>
      </c>
      <c r="I803" s="2">
        <v>484.48694252092901</v>
      </c>
      <c r="J803" t="s">
        <v>10</v>
      </c>
    </row>
    <row r="804" spans="1:10" x14ac:dyDescent="0.25">
      <c r="A804" t="s">
        <v>175</v>
      </c>
      <c r="B804" s="1">
        <f t="shared" si="48"/>
        <v>45087</v>
      </c>
      <c r="C804" s="1" t="str">
        <f t="shared" si="49"/>
        <v>Saturday</v>
      </c>
      <c r="D804" s="1" t="str">
        <f t="shared" si="50"/>
        <v>June</v>
      </c>
      <c r="E804" s="1" t="str">
        <f t="shared" si="51"/>
        <v>2023</v>
      </c>
      <c r="F804" t="s">
        <v>11</v>
      </c>
      <c r="G804" s="5">
        <v>815.18483786349998</v>
      </c>
      <c r="H804" s="10">
        <v>16</v>
      </c>
      <c r="I804" s="2">
        <v>302.03122786477098</v>
      </c>
      <c r="J804" t="s">
        <v>12</v>
      </c>
    </row>
    <row r="805" spans="1:10" x14ac:dyDescent="0.25">
      <c r="A805" t="s">
        <v>175</v>
      </c>
      <c r="B805" s="1">
        <f t="shared" si="48"/>
        <v>45087</v>
      </c>
      <c r="C805" s="1" t="str">
        <f t="shared" si="49"/>
        <v>Saturday</v>
      </c>
      <c r="D805" s="1" t="str">
        <f t="shared" si="50"/>
        <v>June</v>
      </c>
      <c r="E805" s="1" t="str">
        <f t="shared" si="51"/>
        <v>2023</v>
      </c>
      <c r="F805" t="s">
        <v>13</v>
      </c>
      <c r="G805" s="5">
        <v>887.14719165493</v>
      </c>
      <c r="H805" s="10">
        <v>4</v>
      </c>
      <c r="I805" s="2">
        <v>350.82896080979498</v>
      </c>
      <c r="J805" t="s">
        <v>14</v>
      </c>
    </row>
    <row r="806" spans="1:10" x14ac:dyDescent="0.25">
      <c r="A806" t="s">
        <v>175</v>
      </c>
      <c r="B806" s="1">
        <f t="shared" si="48"/>
        <v>45087</v>
      </c>
      <c r="C806" s="1" t="str">
        <f t="shared" si="49"/>
        <v>Saturday</v>
      </c>
      <c r="D806" s="1" t="str">
        <f t="shared" si="50"/>
        <v>June</v>
      </c>
      <c r="E806" s="1" t="str">
        <f t="shared" si="51"/>
        <v>2023</v>
      </c>
      <c r="F806" t="s">
        <v>16</v>
      </c>
      <c r="G806" s="5">
        <v>176.1583627437</v>
      </c>
      <c r="H806" s="10">
        <v>8</v>
      </c>
      <c r="I806" s="2">
        <v>321.02264154295199</v>
      </c>
      <c r="J806" t="s">
        <v>10</v>
      </c>
    </row>
    <row r="807" spans="1:10" x14ac:dyDescent="0.25">
      <c r="A807" t="s">
        <v>176</v>
      </c>
      <c r="B807" s="1">
        <f t="shared" si="48"/>
        <v>45088</v>
      </c>
      <c r="C807" s="1" t="str">
        <f t="shared" si="49"/>
        <v>Sunday</v>
      </c>
      <c r="D807" s="1" t="str">
        <f t="shared" si="50"/>
        <v>June</v>
      </c>
      <c r="E807" s="1" t="str">
        <f t="shared" si="51"/>
        <v>2023</v>
      </c>
      <c r="F807" t="s">
        <v>7</v>
      </c>
      <c r="G807" s="5">
        <v>147.683487324</v>
      </c>
      <c r="H807" s="10">
        <v>10</v>
      </c>
      <c r="I807" s="2">
        <v>460.02329587849698</v>
      </c>
      <c r="J807" t="s">
        <v>10</v>
      </c>
    </row>
    <row r="808" spans="1:10" x14ac:dyDescent="0.25">
      <c r="A808" t="s">
        <v>176</v>
      </c>
      <c r="B808" s="1">
        <f t="shared" si="48"/>
        <v>45088</v>
      </c>
      <c r="C808" s="1" t="str">
        <f t="shared" si="49"/>
        <v>Sunday</v>
      </c>
      <c r="D808" s="1" t="str">
        <f t="shared" si="50"/>
        <v>June</v>
      </c>
      <c r="E808" s="1" t="str">
        <f t="shared" si="51"/>
        <v>2023</v>
      </c>
      <c r="F808" t="s">
        <v>9</v>
      </c>
      <c r="G808" s="5">
        <v>139.97717158379999</v>
      </c>
      <c r="H808" s="10">
        <v>17</v>
      </c>
      <c r="I808" s="2">
        <v>401.08439243172199</v>
      </c>
      <c r="J808" t="s">
        <v>12</v>
      </c>
    </row>
    <row r="809" spans="1:10" x14ac:dyDescent="0.25">
      <c r="A809" t="s">
        <v>176</v>
      </c>
      <c r="B809" s="1">
        <f t="shared" si="48"/>
        <v>45088</v>
      </c>
      <c r="C809" s="1" t="str">
        <f t="shared" si="49"/>
        <v>Sunday</v>
      </c>
      <c r="D809" s="1" t="str">
        <f t="shared" si="50"/>
        <v>June</v>
      </c>
      <c r="E809" s="1" t="str">
        <f t="shared" si="51"/>
        <v>2023</v>
      </c>
      <c r="F809" t="s">
        <v>11</v>
      </c>
      <c r="G809" s="5">
        <v>475.23398796935999</v>
      </c>
      <c r="H809" s="10">
        <v>17</v>
      </c>
      <c r="I809" s="2">
        <v>133.28705326367901</v>
      </c>
      <c r="J809" t="s">
        <v>14</v>
      </c>
    </row>
    <row r="810" spans="1:10" x14ac:dyDescent="0.25">
      <c r="A810" t="s">
        <v>176</v>
      </c>
      <c r="B810" s="1">
        <f t="shared" si="48"/>
        <v>45088</v>
      </c>
      <c r="C810" s="1" t="str">
        <f t="shared" si="49"/>
        <v>Sunday</v>
      </c>
      <c r="D810" s="1" t="str">
        <f t="shared" si="50"/>
        <v>June</v>
      </c>
      <c r="E810" s="1" t="str">
        <f t="shared" si="51"/>
        <v>2023</v>
      </c>
      <c r="F810" t="s">
        <v>13</v>
      </c>
      <c r="G810" s="5">
        <v>722.65837223318999</v>
      </c>
      <c r="H810" s="10">
        <v>5</v>
      </c>
      <c r="I810" s="2">
        <v>94.490057900749903</v>
      </c>
      <c r="J810" t="s">
        <v>8</v>
      </c>
    </row>
    <row r="811" spans="1:10" x14ac:dyDescent="0.25">
      <c r="A811" t="s">
        <v>176</v>
      </c>
      <c r="B811" s="1">
        <f t="shared" si="48"/>
        <v>45088</v>
      </c>
      <c r="C811" s="1" t="str">
        <f t="shared" si="49"/>
        <v>Sunday</v>
      </c>
      <c r="D811" s="1" t="str">
        <f t="shared" si="50"/>
        <v>June</v>
      </c>
      <c r="E811" s="1" t="str">
        <f t="shared" si="51"/>
        <v>2023</v>
      </c>
      <c r="F811" t="s">
        <v>16</v>
      </c>
      <c r="G811" s="5">
        <v>199.55235789</v>
      </c>
      <c r="H811" s="10">
        <v>19</v>
      </c>
      <c r="I811" s="2">
        <v>231.66242018783399</v>
      </c>
      <c r="J811" t="s">
        <v>8</v>
      </c>
    </row>
    <row r="812" spans="1:10" x14ac:dyDescent="0.25">
      <c r="A812" t="s">
        <v>177</v>
      </c>
      <c r="B812" s="1">
        <f t="shared" si="48"/>
        <v>45089</v>
      </c>
      <c r="C812" s="1" t="str">
        <f t="shared" si="49"/>
        <v>Monday</v>
      </c>
      <c r="D812" s="1" t="str">
        <f t="shared" si="50"/>
        <v>June</v>
      </c>
      <c r="E812" s="1" t="str">
        <f t="shared" si="51"/>
        <v>2023</v>
      </c>
      <c r="F812" t="s">
        <v>7</v>
      </c>
      <c r="G812" s="5">
        <v>638.27136146333805</v>
      </c>
      <c r="H812" s="10">
        <v>15</v>
      </c>
      <c r="I812" s="2">
        <v>200.60740644236401</v>
      </c>
      <c r="J812" t="s">
        <v>10</v>
      </c>
    </row>
    <row r="813" spans="1:10" x14ac:dyDescent="0.25">
      <c r="A813" t="s">
        <v>177</v>
      </c>
      <c r="B813" s="1">
        <f t="shared" si="48"/>
        <v>45089</v>
      </c>
      <c r="C813" s="1" t="str">
        <f t="shared" si="49"/>
        <v>Monday</v>
      </c>
      <c r="D813" s="1" t="str">
        <f t="shared" si="50"/>
        <v>June</v>
      </c>
      <c r="E813" s="1" t="str">
        <f t="shared" si="51"/>
        <v>2023</v>
      </c>
      <c r="F813" t="s">
        <v>9</v>
      </c>
      <c r="G813" s="5">
        <v>945.69815842114997</v>
      </c>
      <c r="H813" s="10">
        <v>6</v>
      </c>
      <c r="I813" s="2">
        <v>355.86466259005198</v>
      </c>
      <c r="J813" t="s">
        <v>10</v>
      </c>
    </row>
    <row r="814" spans="1:10" x14ac:dyDescent="0.25">
      <c r="A814" t="s">
        <v>177</v>
      </c>
      <c r="B814" s="1">
        <f t="shared" si="48"/>
        <v>45089</v>
      </c>
      <c r="C814" s="1" t="str">
        <f t="shared" si="49"/>
        <v>Monday</v>
      </c>
      <c r="D814" s="1" t="str">
        <f t="shared" si="50"/>
        <v>June</v>
      </c>
      <c r="E814" s="1" t="str">
        <f t="shared" si="51"/>
        <v>2023</v>
      </c>
      <c r="F814" t="s">
        <v>11</v>
      </c>
      <c r="G814" s="5">
        <v>938.52286246776703</v>
      </c>
      <c r="H814" s="10">
        <v>9</v>
      </c>
      <c r="I814" s="2">
        <v>148.82361711377399</v>
      </c>
      <c r="J814" t="s">
        <v>8</v>
      </c>
    </row>
    <row r="815" spans="1:10" x14ac:dyDescent="0.25">
      <c r="A815" t="s">
        <v>177</v>
      </c>
      <c r="B815" s="1">
        <f t="shared" si="48"/>
        <v>45089</v>
      </c>
      <c r="C815" s="1" t="str">
        <f t="shared" si="49"/>
        <v>Monday</v>
      </c>
      <c r="D815" s="1" t="str">
        <f t="shared" si="50"/>
        <v>June</v>
      </c>
      <c r="E815" s="1" t="str">
        <f t="shared" si="51"/>
        <v>2023</v>
      </c>
      <c r="F815" t="s">
        <v>13</v>
      </c>
      <c r="G815" s="5">
        <v>979.63666839999996</v>
      </c>
      <c r="H815" s="10">
        <v>6</v>
      </c>
      <c r="I815" s="2">
        <v>196.59655902594201</v>
      </c>
      <c r="J815" t="s">
        <v>14</v>
      </c>
    </row>
    <row r="816" spans="1:10" x14ac:dyDescent="0.25">
      <c r="A816" t="s">
        <v>177</v>
      </c>
      <c r="B816" s="1">
        <f t="shared" si="48"/>
        <v>45089</v>
      </c>
      <c r="C816" s="1" t="str">
        <f t="shared" si="49"/>
        <v>Monday</v>
      </c>
      <c r="D816" s="1" t="str">
        <f t="shared" si="50"/>
        <v>June</v>
      </c>
      <c r="E816" s="1" t="str">
        <f t="shared" si="51"/>
        <v>2023</v>
      </c>
      <c r="F816" t="s">
        <v>16</v>
      </c>
      <c r="G816" s="5">
        <v>1221.2119457824001</v>
      </c>
      <c r="H816" s="10">
        <v>13</v>
      </c>
      <c r="I816" s="2">
        <v>469.10072350276698</v>
      </c>
      <c r="J816" t="s">
        <v>8</v>
      </c>
    </row>
    <row r="817" spans="1:10" x14ac:dyDescent="0.25">
      <c r="A817" t="s">
        <v>178</v>
      </c>
      <c r="B817" s="1">
        <f t="shared" si="48"/>
        <v>45090</v>
      </c>
      <c r="C817" s="1" t="str">
        <f t="shared" si="49"/>
        <v>Tuesday</v>
      </c>
      <c r="D817" s="1" t="str">
        <f t="shared" si="50"/>
        <v>June</v>
      </c>
      <c r="E817" s="1" t="str">
        <f t="shared" si="51"/>
        <v>2023</v>
      </c>
      <c r="F817" t="s">
        <v>7</v>
      </c>
      <c r="G817" s="5">
        <v>1342.3398194593699</v>
      </c>
      <c r="H817" s="10">
        <v>17</v>
      </c>
      <c r="I817" s="2">
        <v>287.46920413629198</v>
      </c>
      <c r="J817" t="s">
        <v>10</v>
      </c>
    </row>
    <row r="818" spans="1:10" x14ac:dyDescent="0.25">
      <c r="A818" t="s">
        <v>178</v>
      </c>
      <c r="B818" s="1">
        <f t="shared" si="48"/>
        <v>45090</v>
      </c>
      <c r="C818" s="1" t="str">
        <f t="shared" si="49"/>
        <v>Tuesday</v>
      </c>
      <c r="D818" s="1" t="str">
        <f t="shared" si="50"/>
        <v>June</v>
      </c>
      <c r="E818" s="1" t="str">
        <f t="shared" si="51"/>
        <v>2023</v>
      </c>
      <c r="F818" t="s">
        <v>9</v>
      </c>
      <c r="G818" s="5">
        <v>269.48893681520002</v>
      </c>
      <c r="H818" s="10">
        <v>4</v>
      </c>
      <c r="I818" s="2">
        <v>58.020991017833701</v>
      </c>
      <c r="J818" t="s">
        <v>10</v>
      </c>
    </row>
    <row r="819" spans="1:10" x14ac:dyDescent="0.25">
      <c r="A819" t="s">
        <v>178</v>
      </c>
      <c r="B819" s="1">
        <f t="shared" si="48"/>
        <v>45090</v>
      </c>
      <c r="C819" s="1" t="str">
        <f t="shared" si="49"/>
        <v>Tuesday</v>
      </c>
      <c r="D819" s="1" t="str">
        <f t="shared" si="50"/>
        <v>June</v>
      </c>
      <c r="E819" s="1" t="str">
        <f t="shared" si="51"/>
        <v>2023</v>
      </c>
      <c r="F819" t="s">
        <v>11</v>
      </c>
      <c r="G819" s="5">
        <v>143.22791428223999</v>
      </c>
      <c r="H819" s="10">
        <v>11</v>
      </c>
      <c r="I819" s="2">
        <v>366.90242111331497</v>
      </c>
      <c r="J819" t="s">
        <v>14</v>
      </c>
    </row>
    <row r="820" spans="1:10" x14ac:dyDescent="0.25">
      <c r="A820" t="s">
        <v>178</v>
      </c>
      <c r="B820" s="1">
        <f t="shared" si="48"/>
        <v>45090</v>
      </c>
      <c r="C820" s="1" t="str">
        <f t="shared" si="49"/>
        <v>Tuesday</v>
      </c>
      <c r="D820" s="1" t="str">
        <f t="shared" si="50"/>
        <v>June</v>
      </c>
      <c r="E820" s="1" t="str">
        <f t="shared" si="51"/>
        <v>2023</v>
      </c>
      <c r="F820" t="s">
        <v>13</v>
      </c>
      <c r="G820" s="5">
        <v>1145.838372619</v>
      </c>
      <c r="H820" s="10">
        <v>2</v>
      </c>
      <c r="I820" s="2">
        <v>265.03056529147102</v>
      </c>
      <c r="J820" t="s">
        <v>14</v>
      </c>
    </row>
    <row r="821" spans="1:10" x14ac:dyDescent="0.25">
      <c r="A821" t="s">
        <v>178</v>
      </c>
      <c r="B821" s="1">
        <f t="shared" si="48"/>
        <v>45090</v>
      </c>
      <c r="C821" s="1" t="str">
        <f t="shared" si="49"/>
        <v>Tuesday</v>
      </c>
      <c r="D821" s="1" t="str">
        <f t="shared" si="50"/>
        <v>June</v>
      </c>
      <c r="E821" s="1" t="str">
        <f t="shared" si="51"/>
        <v>2023</v>
      </c>
      <c r="F821" t="s">
        <v>16</v>
      </c>
      <c r="G821" s="5">
        <v>1374.36878743237</v>
      </c>
      <c r="H821" s="10">
        <v>19</v>
      </c>
      <c r="I821" s="2">
        <v>428.60783931194601</v>
      </c>
      <c r="J821" t="s">
        <v>8</v>
      </c>
    </row>
    <row r="822" spans="1:10" x14ac:dyDescent="0.25">
      <c r="A822" t="s">
        <v>179</v>
      </c>
      <c r="B822" s="1">
        <f t="shared" si="48"/>
        <v>45091</v>
      </c>
      <c r="C822" s="1" t="str">
        <f t="shared" si="49"/>
        <v>Wednesday</v>
      </c>
      <c r="D822" s="1" t="str">
        <f t="shared" si="50"/>
        <v>June</v>
      </c>
      <c r="E822" s="1" t="str">
        <f t="shared" si="51"/>
        <v>2023</v>
      </c>
      <c r="F822" t="s">
        <v>7</v>
      </c>
      <c r="G822" s="5">
        <v>1545.7669549899099</v>
      </c>
      <c r="H822" s="10">
        <v>6</v>
      </c>
      <c r="I822" s="2">
        <v>209.525167279892</v>
      </c>
      <c r="J822" t="s">
        <v>14</v>
      </c>
    </row>
    <row r="823" spans="1:10" x14ac:dyDescent="0.25">
      <c r="A823" t="s">
        <v>179</v>
      </c>
      <c r="B823" s="1">
        <f t="shared" si="48"/>
        <v>45091</v>
      </c>
      <c r="C823" s="1" t="str">
        <f t="shared" si="49"/>
        <v>Wednesday</v>
      </c>
      <c r="D823" s="1" t="str">
        <f t="shared" si="50"/>
        <v>June</v>
      </c>
      <c r="E823" s="1" t="str">
        <f t="shared" si="51"/>
        <v>2023</v>
      </c>
      <c r="F823" t="s">
        <v>9</v>
      </c>
      <c r="G823" s="5">
        <v>111.989191644</v>
      </c>
      <c r="H823" s="10">
        <v>3</v>
      </c>
      <c r="I823" s="2">
        <v>390.361656382332</v>
      </c>
      <c r="J823" t="s">
        <v>14</v>
      </c>
    </row>
    <row r="824" spans="1:10" x14ac:dyDescent="0.25">
      <c r="A824" t="s">
        <v>179</v>
      </c>
      <c r="B824" s="1">
        <f t="shared" si="48"/>
        <v>45091</v>
      </c>
      <c r="C824" s="1" t="str">
        <f t="shared" si="49"/>
        <v>Wednesday</v>
      </c>
      <c r="D824" s="1" t="str">
        <f t="shared" si="50"/>
        <v>June</v>
      </c>
      <c r="E824" s="1" t="str">
        <f t="shared" si="51"/>
        <v>2023</v>
      </c>
      <c r="F824" t="s">
        <v>11</v>
      </c>
      <c r="G824" s="5">
        <v>856.34876319747798</v>
      </c>
      <c r="H824" s="10">
        <v>2</v>
      </c>
      <c r="I824" s="2">
        <v>309.50517539999998</v>
      </c>
      <c r="J824" t="s">
        <v>10</v>
      </c>
    </row>
    <row r="825" spans="1:10" x14ac:dyDescent="0.25">
      <c r="A825" t="s">
        <v>179</v>
      </c>
      <c r="B825" s="1">
        <f t="shared" si="48"/>
        <v>45091</v>
      </c>
      <c r="C825" s="1" t="str">
        <f t="shared" si="49"/>
        <v>Wednesday</v>
      </c>
      <c r="D825" s="1" t="str">
        <f t="shared" si="50"/>
        <v>June</v>
      </c>
      <c r="E825" s="1" t="str">
        <f t="shared" si="51"/>
        <v>2023</v>
      </c>
      <c r="F825" t="s">
        <v>13</v>
      </c>
      <c r="G825" s="5">
        <v>741.16727787629998</v>
      </c>
      <c r="H825" s="10">
        <v>5</v>
      </c>
      <c r="I825" s="2">
        <v>89.879481830000003</v>
      </c>
      <c r="J825" t="s">
        <v>12</v>
      </c>
    </row>
    <row r="826" spans="1:10" x14ac:dyDescent="0.25">
      <c r="A826" t="s">
        <v>179</v>
      </c>
      <c r="B826" s="1">
        <f t="shared" si="48"/>
        <v>45091</v>
      </c>
      <c r="C826" s="1" t="str">
        <f t="shared" si="49"/>
        <v>Wednesday</v>
      </c>
      <c r="D826" s="1" t="str">
        <f t="shared" si="50"/>
        <v>June</v>
      </c>
      <c r="E826" s="1" t="str">
        <f t="shared" si="51"/>
        <v>2023</v>
      </c>
      <c r="F826" t="s">
        <v>16</v>
      </c>
      <c r="G826" s="5">
        <v>1333.4735971395901</v>
      </c>
      <c r="H826" s="10">
        <v>16</v>
      </c>
      <c r="I826" s="2">
        <v>526.15095669375398</v>
      </c>
      <c r="J826" t="s">
        <v>10</v>
      </c>
    </row>
    <row r="827" spans="1:10" x14ac:dyDescent="0.25">
      <c r="A827" t="s">
        <v>180</v>
      </c>
      <c r="B827" s="1">
        <f t="shared" si="48"/>
        <v>45092</v>
      </c>
      <c r="C827" s="1" t="str">
        <f t="shared" si="49"/>
        <v>Thursday</v>
      </c>
      <c r="D827" s="1" t="str">
        <f t="shared" si="50"/>
        <v>June</v>
      </c>
      <c r="E827" s="1" t="str">
        <f t="shared" si="51"/>
        <v>2023</v>
      </c>
      <c r="F827" t="s">
        <v>7</v>
      </c>
      <c r="G827" s="5">
        <v>158.41179953100001</v>
      </c>
      <c r="H827" s="10">
        <v>18</v>
      </c>
      <c r="I827" s="2">
        <v>275.391531981095</v>
      </c>
      <c r="J827" t="s">
        <v>14</v>
      </c>
    </row>
    <row r="828" spans="1:10" x14ac:dyDescent="0.25">
      <c r="A828" t="s">
        <v>180</v>
      </c>
      <c r="B828" s="1">
        <f t="shared" si="48"/>
        <v>45092</v>
      </c>
      <c r="C828" s="1" t="str">
        <f t="shared" si="49"/>
        <v>Thursday</v>
      </c>
      <c r="D828" s="1" t="str">
        <f t="shared" si="50"/>
        <v>June</v>
      </c>
      <c r="E828" s="1" t="str">
        <f t="shared" si="51"/>
        <v>2023</v>
      </c>
      <c r="F828" t="s">
        <v>9</v>
      </c>
      <c r="G828" s="5">
        <v>12.9245465231</v>
      </c>
      <c r="H828" s="10">
        <v>11</v>
      </c>
      <c r="I828" s="2">
        <v>160.722342589715</v>
      </c>
      <c r="J828" t="s">
        <v>14</v>
      </c>
    </row>
    <row r="829" spans="1:10" x14ac:dyDescent="0.25">
      <c r="A829" t="s">
        <v>180</v>
      </c>
      <c r="B829" s="1">
        <f t="shared" si="48"/>
        <v>45092</v>
      </c>
      <c r="C829" s="1" t="str">
        <f t="shared" si="49"/>
        <v>Thursday</v>
      </c>
      <c r="D829" s="1" t="str">
        <f t="shared" si="50"/>
        <v>June</v>
      </c>
      <c r="E829" s="1" t="str">
        <f t="shared" si="51"/>
        <v>2023</v>
      </c>
      <c r="F829" t="s">
        <v>11</v>
      </c>
      <c r="G829" s="5">
        <v>88.764176676000005</v>
      </c>
      <c r="H829" s="10">
        <v>17</v>
      </c>
      <c r="I829" s="2">
        <v>307.46952935196498</v>
      </c>
      <c r="J829" t="s">
        <v>8</v>
      </c>
    </row>
    <row r="830" spans="1:10" x14ac:dyDescent="0.25">
      <c r="A830" t="s">
        <v>180</v>
      </c>
      <c r="B830" s="1">
        <f t="shared" si="48"/>
        <v>45092</v>
      </c>
      <c r="C830" s="1" t="str">
        <f t="shared" si="49"/>
        <v>Thursday</v>
      </c>
      <c r="D830" s="1" t="str">
        <f t="shared" si="50"/>
        <v>June</v>
      </c>
      <c r="E830" s="1" t="str">
        <f t="shared" si="51"/>
        <v>2023</v>
      </c>
      <c r="F830" t="s">
        <v>13</v>
      </c>
      <c r="G830" s="5">
        <v>811.22981892163</v>
      </c>
      <c r="H830" s="10">
        <v>1</v>
      </c>
      <c r="I830" s="2">
        <v>150.666042787202</v>
      </c>
      <c r="J830" t="s">
        <v>14</v>
      </c>
    </row>
    <row r="831" spans="1:10" x14ac:dyDescent="0.25">
      <c r="A831" t="s">
        <v>180</v>
      </c>
      <c r="B831" s="1">
        <f t="shared" si="48"/>
        <v>45092</v>
      </c>
      <c r="C831" s="1" t="str">
        <f t="shared" si="49"/>
        <v>Thursday</v>
      </c>
      <c r="D831" s="1" t="str">
        <f t="shared" si="50"/>
        <v>June</v>
      </c>
      <c r="E831" s="1" t="str">
        <f t="shared" si="51"/>
        <v>2023</v>
      </c>
      <c r="F831" t="s">
        <v>16</v>
      </c>
      <c r="G831" s="5">
        <v>146.11831297494001</v>
      </c>
      <c r="H831" s="10">
        <v>9</v>
      </c>
      <c r="I831" s="2">
        <v>446.26058122018298</v>
      </c>
      <c r="J831" t="s">
        <v>8</v>
      </c>
    </row>
    <row r="832" spans="1:10" x14ac:dyDescent="0.25">
      <c r="A832" t="s">
        <v>181</v>
      </c>
      <c r="B832" s="1">
        <f t="shared" si="48"/>
        <v>45093</v>
      </c>
      <c r="C832" s="1" t="str">
        <f t="shared" si="49"/>
        <v>Friday</v>
      </c>
      <c r="D832" s="1" t="str">
        <f t="shared" si="50"/>
        <v>June</v>
      </c>
      <c r="E832" s="1" t="str">
        <f t="shared" si="51"/>
        <v>2023</v>
      </c>
      <c r="F832" t="s">
        <v>7</v>
      </c>
      <c r="G832" s="5">
        <v>149.42313623931</v>
      </c>
      <c r="H832" s="10">
        <v>7</v>
      </c>
      <c r="I832" s="2">
        <v>304.00176982149901</v>
      </c>
      <c r="J832" t="s">
        <v>12</v>
      </c>
    </row>
    <row r="833" spans="1:10" x14ac:dyDescent="0.25">
      <c r="A833" t="s">
        <v>181</v>
      </c>
      <c r="B833" s="1">
        <f t="shared" si="48"/>
        <v>45093</v>
      </c>
      <c r="C833" s="1" t="str">
        <f t="shared" si="49"/>
        <v>Friday</v>
      </c>
      <c r="D833" s="1" t="str">
        <f t="shared" si="50"/>
        <v>June</v>
      </c>
      <c r="E833" s="1" t="str">
        <f t="shared" si="51"/>
        <v>2023</v>
      </c>
      <c r="F833" t="s">
        <v>9</v>
      </c>
      <c r="G833" s="5">
        <v>987.84449498926199</v>
      </c>
      <c r="H833" s="10">
        <v>19</v>
      </c>
      <c r="I833" s="2">
        <v>331.50149126178297</v>
      </c>
      <c r="J833" t="s">
        <v>8</v>
      </c>
    </row>
    <row r="834" spans="1:10" x14ac:dyDescent="0.25">
      <c r="A834" t="s">
        <v>181</v>
      </c>
      <c r="B834" s="1">
        <f t="shared" si="48"/>
        <v>45093</v>
      </c>
      <c r="C834" s="1" t="str">
        <f t="shared" si="49"/>
        <v>Friday</v>
      </c>
      <c r="D834" s="1" t="str">
        <f t="shared" si="50"/>
        <v>June</v>
      </c>
      <c r="E834" s="1" t="str">
        <f t="shared" si="51"/>
        <v>2023</v>
      </c>
      <c r="F834" t="s">
        <v>11</v>
      </c>
      <c r="G834" s="5">
        <v>911.72538461933004</v>
      </c>
      <c r="H834" s="10">
        <v>18</v>
      </c>
      <c r="I834" s="2">
        <v>348.62528085132601</v>
      </c>
      <c r="J834" t="s">
        <v>8</v>
      </c>
    </row>
    <row r="835" spans="1:10" x14ac:dyDescent="0.25">
      <c r="A835" t="s">
        <v>181</v>
      </c>
      <c r="B835" s="1">
        <f t="shared" ref="B835:B898" si="52">DATE(VALUE(RIGHT(A835,4)),VALUE(LEFT(A835,FIND("/",A835)-1)),VALUE(MID(A835,FIND("/",A835)+1,FIND("/",A835,FIND("/",A835)+1)-FIND("/",A835)-1)))</f>
        <v>45093</v>
      </c>
      <c r="C835" s="1" t="str">
        <f t="shared" ref="C835:C898" si="53">TEXT(B835,"DDDD")</f>
        <v>Friday</v>
      </c>
      <c r="D835" s="1" t="str">
        <f t="shared" ref="D835:D898" si="54">TEXT(B835,"MMMM")</f>
        <v>June</v>
      </c>
      <c r="E835" s="1" t="str">
        <f t="shared" ref="E835:E898" si="55">TEXT(B835,"YYYY")</f>
        <v>2023</v>
      </c>
      <c r="F835" t="s">
        <v>13</v>
      </c>
      <c r="G835" s="5">
        <v>841.58896441130003</v>
      </c>
      <c r="H835" s="10">
        <v>8</v>
      </c>
      <c r="I835" s="2">
        <v>101.201708280706</v>
      </c>
      <c r="J835" t="s">
        <v>8</v>
      </c>
    </row>
    <row r="836" spans="1:10" x14ac:dyDescent="0.25">
      <c r="A836" t="s">
        <v>181</v>
      </c>
      <c r="B836" s="1">
        <f t="shared" si="52"/>
        <v>45093</v>
      </c>
      <c r="C836" s="1" t="str">
        <f t="shared" si="53"/>
        <v>Friday</v>
      </c>
      <c r="D836" s="1" t="str">
        <f t="shared" si="54"/>
        <v>June</v>
      </c>
      <c r="E836" s="1" t="str">
        <f t="shared" si="55"/>
        <v>2023</v>
      </c>
      <c r="F836" t="s">
        <v>16</v>
      </c>
      <c r="G836" s="5">
        <v>1116.45177339</v>
      </c>
      <c r="H836" s="10">
        <v>9</v>
      </c>
      <c r="I836" s="2">
        <v>358.78885360275399</v>
      </c>
      <c r="J836" t="s">
        <v>12</v>
      </c>
    </row>
    <row r="837" spans="1:10" x14ac:dyDescent="0.25">
      <c r="A837" t="s">
        <v>182</v>
      </c>
      <c r="B837" s="1">
        <f t="shared" si="52"/>
        <v>45094</v>
      </c>
      <c r="C837" s="1" t="str">
        <f t="shared" si="53"/>
        <v>Saturday</v>
      </c>
      <c r="D837" s="1" t="str">
        <f t="shared" si="54"/>
        <v>June</v>
      </c>
      <c r="E837" s="1" t="str">
        <f t="shared" si="55"/>
        <v>2023</v>
      </c>
      <c r="F837" t="s">
        <v>7</v>
      </c>
      <c r="G837" s="5">
        <v>111.618161188</v>
      </c>
      <c r="H837" s="10">
        <v>9</v>
      </c>
      <c r="I837" s="2">
        <v>163.20654648040701</v>
      </c>
      <c r="J837" t="s">
        <v>8</v>
      </c>
    </row>
    <row r="838" spans="1:10" x14ac:dyDescent="0.25">
      <c r="A838" t="s">
        <v>182</v>
      </c>
      <c r="B838" s="1">
        <f t="shared" si="52"/>
        <v>45094</v>
      </c>
      <c r="C838" s="1" t="str">
        <f t="shared" si="53"/>
        <v>Saturday</v>
      </c>
      <c r="D838" s="1" t="str">
        <f t="shared" si="54"/>
        <v>June</v>
      </c>
      <c r="E838" s="1" t="str">
        <f t="shared" si="55"/>
        <v>2023</v>
      </c>
      <c r="F838" t="s">
        <v>9</v>
      </c>
      <c r="G838" s="5">
        <v>551.41223472976003</v>
      </c>
      <c r="H838" s="10">
        <v>10</v>
      </c>
      <c r="I838" s="2">
        <v>140.53589044800901</v>
      </c>
      <c r="J838" t="s">
        <v>10</v>
      </c>
    </row>
    <row r="839" spans="1:10" x14ac:dyDescent="0.25">
      <c r="A839" t="s">
        <v>182</v>
      </c>
      <c r="B839" s="1">
        <f t="shared" si="52"/>
        <v>45094</v>
      </c>
      <c r="C839" s="1" t="str">
        <f t="shared" si="53"/>
        <v>Saturday</v>
      </c>
      <c r="D839" s="1" t="str">
        <f t="shared" si="54"/>
        <v>June</v>
      </c>
      <c r="E839" s="1" t="str">
        <f t="shared" si="55"/>
        <v>2023</v>
      </c>
      <c r="F839" t="s">
        <v>11</v>
      </c>
      <c r="G839" s="5">
        <v>84.992819677930001</v>
      </c>
      <c r="H839" s="10">
        <v>16</v>
      </c>
      <c r="I839" s="2">
        <v>232.81208720000001</v>
      </c>
      <c r="J839" t="s">
        <v>14</v>
      </c>
    </row>
    <row r="840" spans="1:10" x14ac:dyDescent="0.25">
      <c r="A840" t="s">
        <v>182</v>
      </c>
      <c r="B840" s="1">
        <f t="shared" si="52"/>
        <v>45094</v>
      </c>
      <c r="C840" s="1" t="str">
        <f t="shared" si="53"/>
        <v>Saturday</v>
      </c>
      <c r="D840" s="1" t="str">
        <f t="shared" si="54"/>
        <v>June</v>
      </c>
      <c r="E840" s="1" t="str">
        <f t="shared" si="55"/>
        <v>2023</v>
      </c>
      <c r="F840" t="s">
        <v>13</v>
      </c>
      <c r="G840" s="5">
        <v>162.18198819680001</v>
      </c>
      <c r="H840" s="10">
        <v>11</v>
      </c>
      <c r="I840" s="2">
        <v>295.93179289143302</v>
      </c>
      <c r="J840" t="s">
        <v>10</v>
      </c>
    </row>
    <row r="841" spans="1:10" x14ac:dyDescent="0.25">
      <c r="A841" t="s">
        <v>182</v>
      </c>
      <c r="B841" s="1">
        <f t="shared" si="52"/>
        <v>45094</v>
      </c>
      <c r="C841" s="1" t="str">
        <f t="shared" si="53"/>
        <v>Saturday</v>
      </c>
      <c r="D841" s="1" t="str">
        <f t="shared" si="54"/>
        <v>June</v>
      </c>
      <c r="E841" s="1" t="str">
        <f t="shared" si="55"/>
        <v>2023</v>
      </c>
      <c r="F841" t="s">
        <v>16</v>
      </c>
      <c r="G841" s="5">
        <v>12.83311187</v>
      </c>
      <c r="H841" s="10">
        <v>15</v>
      </c>
      <c r="I841" s="2">
        <v>393.44511949999998</v>
      </c>
      <c r="J841" t="s">
        <v>10</v>
      </c>
    </row>
    <row r="842" spans="1:10" x14ac:dyDescent="0.25">
      <c r="A842" t="s">
        <v>183</v>
      </c>
      <c r="B842" s="1">
        <f t="shared" si="52"/>
        <v>45095</v>
      </c>
      <c r="C842" s="1" t="str">
        <f t="shared" si="53"/>
        <v>Sunday</v>
      </c>
      <c r="D842" s="1" t="str">
        <f t="shared" si="54"/>
        <v>June</v>
      </c>
      <c r="E842" s="1" t="str">
        <f t="shared" si="55"/>
        <v>2023</v>
      </c>
      <c r="F842" t="s">
        <v>7</v>
      </c>
      <c r="G842" s="5">
        <v>1529.7127799351199</v>
      </c>
      <c r="H842" s="10">
        <v>19</v>
      </c>
      <c r="I842" s="2">
        <v>439.172329895975</v>
      </c>
      <c r="J842" t="s">
        <v>10</v>
      </c>
    </row>
    <row r="843" spans="1:10" x14ac:dyDescent="0.25">
      <c r="A843" t="s">
        <v>183</v>
      </c>
      <c r="B843" s="1">
        <f t="shared" si="52"/>
        <v>45095</v>
      </c>
      <c r="C843" s="1" t="str">
        <f t="shared" si="53"/>
        <v>Sunday</v>
      </c>
      <c r="D843" s="1" t="str">
        <f t="shared" si="54"/>
        <v>June</v>
      </c>
      <c r="E843" s="1" t="str">
        <f t="shared" si="55"/>
        <v>2023</v>
      </c>
      <c r="F843" t="s">
        <v>9</v>
      </c>
      <c r="G843" s="5">
        <v>811.63535667462997</v>
      </c>
      <c r="H843" s="10">
        <v>2</v>
      </c>
      <c r="I843" s="2">
        <v>146.27335989205801</v>
      </c>
      <c r="J843" t="s">
        <v>12</v>
      </c>
    </row>
    <row r="844" spans="1:10" x14ac:dyDescent="0.25">
      <c r="A844" t="s">
        <v>183</v>
      </c>
      <c r="B844" s="1">
        <f t="shared" si="52"/>
        <v>45095</v>
      </c>
      <c r="C844" s="1" t="str">
        <f t="shared" si="53"/>
        <v>Sunday</v>
      </c>
      <c r="D844" s="1" t="str">
        <f t="shared" si="54"/>
        <v>June</v>
      </c>
      <c r="E844" s="1" t="str">
        <f t="shared" si="55"/>
        <v>2023</v>
      </c>
      <c r="F844" t="s">
        <v>11</v>
      </c>
      <c r="G844" s="5">
        <v>728.52564383196</v>
      </c>
      <c r="H844" s="10">
        <v>10</v>
      </c>
      <c r="I844" s="2">
        <v>171.35355140098</v>
      </c>
      <c r="J844" t="s">
        <v>14</v>
      </c>
    </row>
    <row r="845" spans="1:10" x14ac:dyDescent="0.25">
      <c r="A845" t="s">
        <v>183</v>
      </c>
      <c r="B845" s="1">
        <f t="shared" si="52"/>
        <v>45095</v>
      </c>
      <c r="C845" s="1" t="str">
        <f t="shared" si="53"/>
        <v>Sunday</v>
      </c>
      <c r="D845" s="1" t="str">
        <f t="shared" si="54"/>
        <v>June</v>
      </c>
      <c r="E845" s="1" t="str">
        <f t="shared" si="55"/>
        <v>2023</v>
      </c>
      <c r="F845" t="s">
        <v>13</v>
      </c>
      <c r="G845" s="5">
        <v>1436.5181747445299</v>
      </c>
      <c r="H845" s="10">
        <v>16</v>
      </c>
      <c r="I845" s="2">
        <v>395.138874342723</v>
      </c>
      <c r="J845" t="s">
        <v>10</v>
      </c>
    </row>
    <row r="846" spans="1:10" x14ac:dyDescent="0.25">
      <c r="A846" t="s">
        <v>183</v>
      </c>
      <c r="B846" s="1">
        <f t="shared" si="52"/>
        <v>45095</v>
      </c>
      <c r="C846" s="1" t="str">
        <f t="shared" si="53"/>
        <v>Sunday</v>
      </c>
      <c r="D846" s="1" t="str">
        <f t="shared" si="54"/>
        <v>June</v>
      </c>
      <c r="E846" s="1" t="str">
        <f t="shared" si="55"/>
        <v>2023</v>
      </c>
      <c r="F846" t="s">
        <v>16</v>
      </c>
      <c r="G846" s="5">
        <v>1196.6842826484999</v>
      </c>
      <c r="H846" s="10">
        <v>4</v>
      </c>
      <c r="I846" s="2">
        <v>459.549360080734</v>
      </c>
      <c r="J846" t="s">
        <v>12</v>
      </c>
    </row>
    <row r="847" spans="1:10" x14ac:dyDescent="0.25">
      <c r="A847" t="s">
        <v>184</v>
      </c>
      <c r="B847" s="1">
        <f t="shared" si="52"/>
        <v>45096</v>
      </c>
      <c r="C847" s="1" t="str">
        <f t="shared" si="53"/>
        <v>Monday</v>
      </c>
      <c r="D847" s="1" t="str">
        <f t="shared" si="54"/>
        <v>June</v>
      </c>
      <c r="E847" s="1" t="str">
        <f t="shared" si="55"/>
        <v>2023</v>
      </c>
      <c r="F847" t="s">
        <v>7</v>
      </c>
      <c r="G847" s="5">
        <v>539.42915516864002</v>
      </c>
      <c r="H847" s="10">
        <v>10</v>
      </c>
      <c r="I847" s="2">
        <v>152.91431714237501</v>
      </c>
      <c r="J847" t="s">
        <v>10</v>
      </c>
    </row>
    <row r="848" spans="1:10" x14ac:dyDescent="0.25">
      <c r="A848" t="s">
        <v>184</v>
      </c>
      <c r="B848" s="1">
        <f t="shared" si="52"/>
        <v>45096</v>
      </c>
      <c r="C848" s="1" t="str">
        <f t="shared" si="53"/>
        <v>Monday</v>
      </c>
      <c r="D848" s="1" t="str">
        <f t="shared" si="54"/>
        <v>June</v>
      </c>
      <c r="E848" s="1" t="str">
        <f t="shared" si="55"/>
        <v>2023</v>
      </c>
      <c r="F848" t="s">
        <v>9</v>
      </c>
      <c r="G848" s="5">
        <v>1165.4428825718501</v>
      </c>
      <c r="H848" s="10">
        <v>4</v>
      </c>
      <c r="I848" s="2">
        <v>361.68573325813401</v>
      </c>
      <c r="J848" t="s">
        <v>8</v>
      </c>
    </row>
    <row r="849" spans="1:10" x14ac:dyDescent="0.25">
      <c r="A849" t="s">
        <v>184</v>
      </c>
      <c r="B849" s="1">
        <f t="shared" si="52"/>
        <v>45096</v>
      </c>
      <c r="C849" s="1" t="str">
        <f t="shared" si="53"/>
        <v>Monday</v>
      </c>
      <c r="D849" s="1" t="str">
        <f t="shared" si="54"/>
        <v>June</v>
      </c>
      <c r="E849" s="1" t="str">
        <f t="shared" si="55"/>
        <v>2023</v>
      </c>
      <c r="F849" t="s">
        <v>11</v>
      </c>
      <c r="G849" s="5">
        <v>112.17676492139999</v>
      </c>
      <c r="H849" s="10">
        <v>13</v>
      </c>
      <c r="I849" s="2">
        <v>245.174269562858</v>
      </c>
      <c r="J849" t="s">
        <v>8</v>
      </c>
    </row>
    <row r="850" spans="1:10" x14ac:dyDescent="0.25">
      <c r="A850" t="s">
        <v>184</v>
      </c>
      <c r="B850" s="1">
        <f t="shared" si="52"/>
        <v>45096</v>
      </c>
      <c r="C850" s="1" t="str">
        <f t="shared" si="53"/>
        <v>Monday</v>
      </c>
      <c r="D850" s="1" t="str">
        <f t="shared" si="54"/>
        <v>June</v>
      </c>
      <c r="E850" s="1" t="str">
        <f t="shared" si="55"/>
        <v>2023</v>
      </c>
      <c r="F850" t="s">
        <v>13</v>
      </c>
      <c r="G850" s="5">
        <v>1186.3655648171</v>
      </c>
      <c r="H850" s="10">
        <v>9</v>
      </c>
      <c r="I850" s="2">
        <v>278.88639621982003</v>
      </c>
      <c r="J850" t="s">
        <v>8</v>
      </c>
    </row>
    <row r="851" spans="1:10" x14ac:dyDescent="0.25">
      <c r="A851" t="s">
        <v>184</v>
      </c>
      <c r="B851" s="1">
        <f t="shared" si="52"/>
        <v>45096</v>
      </c>
      <c r="C851" s="1" t="str">
        <f t="shared" si="53"/>
        <v>Monday</v>
      </c>
      <c r="D851" s="1" t="str">
        <f t="shared" si="54"/>
        <v>June</v>
      </c>
      <c r="E851" s="1" t="str">
        <f t="shared" si="55"/>
        <v>2023</v>
      </c>
      <c r="F851" t="s">
        <v>16</v>
      </c>
      <c r="G851" s="5">
        <v>951.13612676216701</v>
      </c>
      <c r="H851" s="10">
        <v>10</v>
      </c>
      <c r="I851" s="2">
        <v>208.974684615337</v>
      </c>
      <c r="J851" t="s">
        <v>8</v>
      </c>
    </row>
    <row r="852" spans="1:10" x14ac:dyDescent="0.25">
      <c r="A852" t="s">
        <v>185</v>
      </c>
      <c r="B852" s="1">
        <f t="shared" si="52"/>
        <v>45097</v>
      </c>
      <c r="C852" s="1" t="str">
        <f t="shared" si="53"/>
        <v>Tuesday</v>
      </c>
      <c r="D852" s="1" t="str">
        <f t="shared" si="54"/>
        <v>June</v>
      </c>
      <c r="E852" s="1" t="str">
        <f t="shared" si="55"/>
        <v>2023</v>
      </c>
      <c r="F852" t="s">
        <v>7</v>
      </c>
      <c r="G852" s="5">
        <v>1427.3386393978999</v>
      </c>
      <c r="H852" s="10">
        <v>6</v>
      </c>
      <c r="I852" s="2">
        <v>561.08978311048304</v>
      </c>
      <c r="J852" t="s">
        <v>8</v>
      </c>
    </row>
    <row r="853" spans="1:10" x14ac:dyDescent="0.25">
      <c r="A853" t="s">
        <v>185</v>
      </c>
      <c r="B853" s="1">
        <f t="shared" si="52"/>
        <v>45097</v>
      </c>
      <c r="C853" s="1" t="str">
        <f t="shared" si="53"/>
        <v>Tuesday</v>
      </c>
      <c r="D853" s="1" t="str">
        <f t="shared" si="54"/>
        <v>June</v>
      </c>
      <c r="E853" s="1" t="str">
        <f t="shared" si="55"/>
        <v>2023</v>
      </c>
      <c r="F853" t="s">
        <v>9</v>
      </c>
      <c r="G853" s="5">
        <v>129.28711219729999</v>
      </c>
      <c r="H853" s="10">
        <v>10</v>
      </c>
      <c r="I853" s="2">
        <v>123.947060542805</v>
      </c>
      <c r="J853" t="s">
        <v>12</v>
      </c>
    </row>
    <row r="854" spans="1:10" x14ac:dyDescent="0.25">
      <c r="A854" t="s">
        <v>185</v>
      </c>
      <c r="B854" s="1">
        <f t="shared" si="52"/>
        <v>45097</v>
      </c>
      <c r="C854" s="1" t="str">
        <f t="shared" si="53"/>
        <v>Tuesday</v>
      </c>
      <c r="D854" s="1" t="str">
        <f t="shared" si="54"/>
        <v>June</v>
      </c>
      <c r="E854" s="1" t="str">
        <f t="shared" si="55"/>
        <v>2023</v>
      </c>
      <c r="F854" t="s">
        <v>11</v>
      </c>
      <c r="G854" s="5">
        <v>1218.4146587289499</v>
      </c>
      <c r="H854" s="10">
        <v>15</v>
      </c>
      <c r="I854" s="2">
        <v>216.40688302870299</v>
      </c>
      <c r="J854" t="s">
        <v>8</v>
      </c>
    </row>
    <row r="855" spans="1:10" x14ac:dyDescent="0.25">
      <c r="A855" t="s">
        <v>185</v>
      </c>
      <c r="B855" s="1">
        <f t="shared" si="52"/>
        <v>45097</v>
      </c>
      <c r="C855" s="1" t="str">
        <f t="shared" si="53"/>
        <v>Tuesday</v>
      </c>
      <c r="D855" s="1" t="str">
        <f t="shared" si="54"/>
        <v>June</v>
      </c>
      <c r="E855" s="1" t="str">
        <f t="shared" si="55"/>
        <v>2023</v>
      </c>
      <c r="F855" t="s">
        <v>13</v>
      </c>
      <c r="G855" s="5">
        <v>93.152668761699999</v>
      </c>
      <c r="H855" s="10">
        <v>9</v>
      </c>
      <c r="I855" s="2">
        <v>209.09383444846</v>
      </c>
      <c r="J855" t="s">
        <v>10</v>
      </c>
    </row>
    <row r="856" spans="1:10" x14ac:dyDescent="0.25">
      <c r="A856" t="s">
        <v>185</v>
      </c>
      <c r="B856" s="1">
        <f t="shared" si="52"/>
        <v>45097</v>
      </c>
      <c r="C856" s="1" t="str">
        <f t="shared" si="53"/>
        <v>Tuesday</v>
      </c>
      <c r="D856" s="1" t="str">
        <f t="shared" si="54"/>
        <v>June</v>
      </c>
      <c r="E856" s="1" t="str">
        <f t="shared" si="55"/>
        <v>2023</v>
      </c>
      <c r="F856" t="s">
        <v>16</v>
      </c>
      <c r="G856" s="5">
        <v>1524.8751712616199</v>
      </c>
      <c r="H856" s="10">
        <v>9</v>
      </c>
      <c r="I856" s="2">
        <v>263.203555324143</v>
      </c>
      <c r="J856" t="s">
        <v>14</v>
      </c>
    </row>
    <row r="857" spans="1:10" x14ac:dyDescent="0.25">
      <c r="A857" t="s">
        <v>186</v>
      </c>
      <c r="B857" s="1">
        <f t="shared" si="52"/>
        <v>45098</v>
      </c>
      <c r="C857" s="1" t="str">
        <f t="shared" si="53"/>
        <v>Wednesday</v>
      </c>
      <c r="D857" s="1" t="str">
        <f t="shared" si="54"/>
        <v>June</v>
      </c>
      <c r="E857" s="1" t="str">
        <f t="shared" si="55"/>
        <v>2023</v>
      </c>
      <c r="F857" t="s">
        <v>7</v>
      </c>
      <c r="G857" s="5">
        <v>1414.4362236714001</v>
      </c>
      <c r="H857" s="10">
        <v>13</v>
      </c>
      <c r="I857" s="2">
        <v>180.22385099980301</v>
      </c>
      <c r="J857" t="s">
        <v>8</v>
      </c>
    </row>
    <row r="858" spans="1:10" x14ac:dyDescent="0.25">
      <c r="A858" t="s">
        <v>186</v>
      </c>
      <c r="B858" s="1">
        <f t="shared" si="52"/>
        <v>45098</v>
      </c>
      <c r="C858" s="1" t="str">
        <f t="shared" si="53"/>
        <v>Wednesday</v>
      </c>
      <c r="D858" s="1" t="str">
        <f t="shared" si="54"/>
        <v>June</v>
      </c>
      <c r="E858" s="1" t="str">
        <f t="shared" si="55"/>
        <v>2023</v>
      </c>
      <c r="F858" t="s">
        <v>9</v>
      </c>
      <c r="G858" s="5">
        <v>78.653919336300007</v>
      </c>
      <c r="H858" s="10">
        <v>1</v>
      </c>
      <c r="I858" s="2">
        <v>213.73768171743501</v>
      </c>
      <c r="J858" t="s">
        <v>12</v>
      </c>
    </row>
    <row r="859" spans="1:10" x14ac:dyDescent="0.25">
      <c r="A859" t="s">
        <v>186</v>
      </c>
      <c r="B859" s="1">
        <f t="shared" si="52"/>
        <v>45098</v>
      </c>
      <c r="C859" s="1" t="str">
        <f t="shared" si="53"/>
        <v>Wednesday</v>
      </c>
      <c r="D859" s="1" t="str">
        <f t="shared" si="54"/>
        <v>June</v>
      </c>
      <c r="E859" s="1" t="str">
        <f t="shared" si="55"/>
        <v>2023</v>
      </c>
      <c r="F859" t="s">
        <v>11</v>
      </c>
      <c r="G859" s="5">
        <v>436.76713442916702</v>
      </c>
      <c r="H859" s="10">
        <v>16</v>
      </c>
      <c r="I859" s="2">
        <v>87.3143194299454</v>
      </c>
      <c r="J859" t="s">
        <v>12</v>
      </c>
    </row>
    <row r="860" spans="1:10" x14ac:dyDescent="0.25">
      <c r="A860" t="s">
        <v>186</v>
      </c>
      <c r="B860" s="1">
        <f t="shared" si="52"/>
        <v>45098</v>
      </c>
      <c r="C860" s="1" t="str">
        <f t="shared" si="53"/>
        <v>Wednesday</v>
      </c>
      <c r="D860" s="1" t="str">
        <f t="shared" si="54"/>
        <v>June</v>
      </c>
      <c r="E860" s="1" t="str">
        <f t="shared" si="55"/>
        <v>2023</v>
      </c>
      <c r="F860" t="s">
        <v>13</v>
      </c>
      <c r="G860" s="5">
        <v>1149.9553398800001</v>
      </c>
      <c r="H860" s="10">
        <v>13</v>
      </c>
      <c r="I860" s="2">
        <v>386.403734862345</v>
      </c>
      <c r="J860" t="s">
        <v>10</v>
      </c>
    </row>
    <row r="861" spans="1:10" x14ac:dyDescent="0.25">
      <c r="A861" t="s">
        <v>186</v>
      </c>
      <c r="B861" s="1">
        <f t="shared" si="52"/>
        <v>45098</v>
      </c>
      <c r="C861" s="1" t="str">
        <f t="shared" si="53"/>
        <v>Wednesday</v>
      </c>
      <c r="D861" s="1" t="str">
        <f t="shared" si="54"/>
        <v>June</v>
      </c>
      <c r="E861" s="1" t="str">
        <f t="shared" si="55"/>
        <v>2023</v>
      </c>
      <c r="F861" t="s">
        <v>16</v>
      </c>
      <c r="G861" s="5">
        <v>1141.6681275779999</v>
      </c>
      <c r="H861" s="10">
        <v>10</v>
      </c>
      <c r="I861" s="2">
        <v>290.06168432130801</v>
      </c>
      <c r="J861" t="s">
        <v>10</v>
      </c>
    </row>
    <row r="862" spans="1:10" x14ac:dyDescent="0.25">
      <c r="A862" t="s">
        <v>187</v>
      </c>
      <c r="B862" s="1">
        <f t="shared" si="52"/>
        <v>45099</v>
      </c>
      <c r="C862" s="1" t="str">
        <f t="shared" si="53"/>
        <v>Thursday</v>
      </c>
      <c r="D862" s="1" t="str">
        <f t="shared" si="54"/>
        <v>June</v>
      </c>
      <c r="E862" s="1" t="str">
        <f t="shared" si="55"/>
        <v>2023</v>
      </c>
      <c r="F862" t="s">
        <v>7</v>
      </c>
      <c r="G862" s="5">
        <v>146.31611932000001</v>
      </c>
      <c r="H862" s="10">
        <v>19</v>
      </c>
      <c r="I862" s="2">
        <v>346.55870627556197</v>
      </c>
      <c r="J862" t="s">
        <v>8</v>
      </c>
    </row>
    <row r="863" spans="1:10" x14ac:dyDescent="0.25">
      <c r="A863" t="s">
        <v>187</v>
      </c>
      <c r="B863" s="1">
        <f t="shared" si="52"/>
        <v>45099</v>
      </c>
      <c r="C863" s="1" t="str">
        <f t="shared" si="53"/>
        <v>Thursday</v>
      </c>
      <c r="D863" s="1" t="str">
        <f t="shared" si="54"/>
        <v>June</v>
      </c>
      <c r="E863" s="1" t="str">
        <f t="shared" si="55"/>
        <v>2023</v>
      </c>
      <c r="F863" t="s">
        <v>9</v>
      </c>
      <c r="G863" s="5">
        <v>1513.5811587451001</v>
      </c>
      <c r="H863" s="10">
        <v>9</v>
      </c>
      <c r="I863" s="2">
        <v>244.99614955670901</v>
      </c>
      <c r="J863" t="s">
        <v>10</v>
      </c>
    </row>
    <row r="864" spans="1:10" x14ac:dyDescent="0.25">
      <c r="A864" t="s">
        <v>187</v>
      </c>
      <c r="B864" s="1">
        <f t="shared" si="52"/>
        <v>45099</v>
      </c>
      <c r="C864" s="1" t="str">
        <f t="shared" si="53"/>
        <v>Thursday</v>
      </c>
      <c r="D864" s="1" t="str">
        <f t="shared" si="54"/>
        <v>June</v>
      </c>
      <c r="E864" s="1" t="str">
        <f t="shared" si="55"/>
        <v>2023</v>
      </c>
      <c r="F864" t="s">
        <v>11</v>
      </c>
      <c r="G864" s="5">
        <v>484.66177125752102</v>
      </c>
      <c r="H864" s="10">
        <v>1</v>
      </c>
      <c r="I864" s="2">
        <v>178.64818356299301</v>
      </c>
      <c r="J864" t="s">
        <v>8</v>
      </c>
    </row>
    <row r="865" spans="1:10" x14ac:dyDescent="0.25">
      <c r="A865" t="s">
        <v>187</v>
      </c>
      <c r="B865" s="1">
        <f t="shared" si="52"/>
        <v>45099</v>
      </c>
      <c r="C865" s="1" t="str">
        <f t="shared" si="53"/>
        <v>Thursday</v>
      </c>
      <c r="D865" s="1" t="str">
        <f t="shared" si="54"/>
        <v>June</v>
      </c>
      <c r="E865" s="1" t="str">
        <f t="shared" si="55"/>
        <v>2023</v>
      </c>
      <c r="F865" t="s">
        <v>13</v>
      </c>
      <c r="G865" s="5">
        <v>185.46593471200001</v>
      </c>
      <c r="H865" s="10">
        <v>18</v>
      </c>
      <c r="I865" s="2">
        <v>364.94933600957199</v>
      </c>
      <c r="J865" t="s">
        <v>8</v>
      </c>
    </row>
    <row r="866" spans="1:10" x14ac:dyDescent="0.25">
      <c r="A866" t="s">
        <v>187</v>
      </c>
      <c r="B866" s="1">
        <f t="shared" si="52"/>
        <v>45099</v>
      </c>
      <c r="C866" s="1" t="str">
        <f t="shared" si="53"/>
        <v>Thursday</v>
      </c>
      <c r="D866" s="1" t="str">
        <f t="shared" si="54"/>
        <v>June</v>
      </c>
      <c r="E866" s="1" t="str">
        <f t="shared" si="55"/>
        <v>2023</v>
      </c>
      <c r="F866" t="s">
        <v>16</v>
      </c>
      <c r="G866" s="5">
        <v>1299.79891337192</v>
      </c>
      <c r="H866" s="10">
        <v>6</v>
      </c>
      <c r="I866" s="2">
        <v>296.71861600838702</v>
      </c>
      <c r="J866" t="s">
        <v>14</v>
      </c>
    </row>
    <row r="867" spans="1:10" x14ac:dyDescent="0.25">
      <c r="A867" t="s">
        <v>188</v>
      </c>
      <c r="B867" s="1">
        <f t="shared" si="52"/>
        <v>45100</v>
      </c>
      <c r="C867" s="1" t="str">
        <f t="shared" si="53"/>
        <v>Friday</v>
      </c>
      <c r="D867" s="1" t="str">
        <f t="shared" si="54"/>
        <v>June</v>
      </c>
      <c r="E867" s="1" t="str">
        <f t="shared" si="55"/>
        <v>2023</v>
      </c>
      <c r="F867" t="s">
        <v>7</v>
      </c>
      <c r="G867" s="5">
        <v>928.87692734326004</v>
      </c>
      <c r="H867" s="10">
        <v>18</v>
      </c>
      <c r="I867" s="2">
        <v>273.82984319219997</v>
      </c>
      <c r="J867" t="s">
        <v>8</v>
      </c>
    </row>
    <row r="868" spans="1:10" x14ac:dyDescent="0.25">
      <c r="A868" t="s">
        <v>188</v>
      </c>
      <c r="B868" s="1">
        <f t="shared" si="52"/>
        <v>45100</v>
      </c>
      <c r="C868" s="1" t="str">
        <f t="shared" si="53"/>
        <v>Friday</v>
      </c>
      <c r="D868" s="1" t="str">
        <f t="shared" si="54"/>
        <v>June</v>
      </c>
      <c r="E868" s="1" t="str">
        <f t="shared" si="55"/>
        <v>2023</v>
      </c>
      <c r="F868" t="s">
        <v>9</v>
      </c>
      <c r="G868" s="5">
        <v>881.69251175750003</v>
      </c>
      <c r="H868" s="10">
        <v>11</v>
      </c>
      <c r="I868" s="2">
        <v>246.39420558153799</v>
      </c>
      <c r="J868" t="s">
        <v>8</v>
      </c>
    </row>
    <row r="869" spans="1:10" x14ac:dyDescent="0.25">
      <c r="A869" t="s">
        <v>188</v>
      </c>
      <c r="B869" s="1">
        <f t="shared" si="52"/>
        <v>45100</v>
      </c>
      <c r="C869" s="1" t="str">
        <f t="shared" si="53"/>
        <v>Friday</v>
      </c>
      <c r="D869" s="1" t="str">
        <f t="shared" si="54"/>
        <v>June</v>
      </c>
      <c r="E869" s="1" t="str">
        <f t="shared" si="55"/>
        <v>2023</v>
      </c>
      <c r="F869" t="s">
        <v>11</v>
      </c>
      <c r="G869" s="5">
        <v>1418.9885438521901</v>
      </c>
      <c r="H869" s="10">
        <v>4</v>
      </c>
      <c r="I869" s="2">
        <v>393.15886884797902</v>
      </c>
      <c r="J869" t="s">
        <v>10</v>
      </c>
    </row>
    <row r="870" spans="1:10" x14ac:dyDescent="0.25">
      <c r="A870" t="s">
        <v>188</v>
      </c>
      <c r="B870" s="1">
        <f t="shared" si="52"/>
        <v>45100</v>
      </c>
      <c r="C870" s="1" t="str">
        <f t="shared" si="53"/>
        <v>Friday</v>
      </c>
      <c r="D870" s="1" t="str">
        <f t="shared" si="54"/>
        <v>June</v>
      </c>
      <c r="E870" s="1" t="str">
        <f t="shared" si="55"/>
        <v>2023</v>
      </c>
      <c r="F870" t="s">
        <v>13</v>
      </c>
      <c r="G870" s="5">
        <v>995.84867617172802</v>
      </c>
      <c r="H870" s="10">
        <v>4</v>
      </c>
      <c r="I870" s="2">
        <v>162.33210251907201</v>
      </c>
      <c r="J870" t="s">
        <v>8</v>
      </c>
    </row>
    <row r="871" spans="1:10" x14ac:dyDescent="0.25">
      <c r="A871" t="s">
        <v>188</v>
      </c>
      <c r="B871" s="1">
        <f t="shared" si="52"/>
        <v>45100</v>
      </c>
      <c r="C871" s="1" t="str">
        <f t="shared" si="53"/>
        <v>Friday</v>
      </c>
      <c r="D871" s="1" t="str">
        <f t="shared" si="54"/>
        <v>June</v>
      </c>
      <c r="E871" s="1" t="str">
        <f t="shared" si="55"/>
        <v>2023</v>
      </c>
      <c r="F871" t="s">
        <v>16</v>
      </c>
      <c r="G871" s="5">
        <v>793.81667787469996</v>
      </c>
      <c r="H871" s="10">
        <v>3</v>
      </c>
      <c r="I871" s="2">
        <v>176.77894745395301</v>
      </c>
      <c r="J871" t="s">
        <v>12</v>
      </c>
    </row>
    <row r="872" spans="1:10" x14ac:dyDescent="0.25">
      <c r="A872" t="s">
        <v>189</v>
      </c>
      <c r="B872" s="1">
        <f t="shared" si="52"/>
        <v>45101</v>
      </c>
      <c r="C872" s="1" t="str">
        <f t="shared" si="53"/>
        <v>Saturday</v>
      </c>
      <c r="D872" s="1" t="str">
        <f t="shared" si="54"/>
        <v>June</v>
      </c>
      <c r="E872" s="1" t="str">
        <f t="shared" si="55"/>
        <v>2023</v>
      </c>
      <c r="F872" t="s">
        <v>7</v>
      </c>
      <c r="G872" s="5">
        <v>1221.1873949641099</v>
      </c>
      <c r="H872" s="10">
        <v>16</v>
      </c>
      <c r="I872" s="2">
        <v>311.31402549979799</v>
      </c>
      <c r="J872" t="s">
        <v>8</v>
      </c>
    </row>
    <row r="873" spans="1:10" x14ac:dyDescent="0.25">
      <c r="A873" t="s">
        <v>189</v>
      </c>
      <c r="B873" s="1">
        <f t="shared" si="52"/>
        <v>45101</v>
      </c>
      <c r="C873" s="1" t="str">
        <f t="shared" si="53"/>
        <v>Saturday</v>
      </c>
      <c r="D873" s="1" t="str">
        <f t="shared" si="54"/>
        <v>June</v>
      </c>
      <c r="E873" s="1" t="str">
        <f t="shared" si="55"/>
        <v>2023</v>
      </c>
      <c r="F873" t="s">
        <v>9</v>
      </c>
      <c r="G873" s="5">
        <v>952.41499688463</v>
      </c>
      <c r="H873" s="10">
        <v>10</v>
      </c>
      <c r="I873" s="2">
        <v>364.54578538308402</v>
      </c>
      <c r="J873" t="s">
        <v>12</v>
      </c>
    </row>
    <row r="874" spans="1:10" x14ac:dyDescent="0.25">
      <c r="A874" t="s">
        <v>189</v>
      </c>
      <c r="B874" s="1">
        <f t="shared" si="52"/>
        <v>45101</v>
      </c>
      <c r="C874" s="1" t="str">
        <f t="shared" si="53"/>
        <v>Saturday</v>
      </c>
      <c r="D874" s="1" t="str">
        <f t="shared" si="54"/>
        <v>June</v>
      </c>
      <c r="E874" s="1" t="str">
        <f t="shared" si="55"/>
        <v>2023</v>
      </c>
      <c r="F874" t="s">
        <v>11</v>
      </c>
      <c r="G874" s="5">
        <v>14.71557716439</v>
      </c>
      <c r="H874" s="10">
        <v>19</v>
      </c>
      <c r="I874" s="2">
        <v>138.55000585660699</v>
      </c>
      <c r="J874" t="s">
        <v>8</v>
      </c>
    </row>
    <row r="875" spans="1:10" x14ac:dyDescent="0.25">
      <c r="A875" t="s">
        <v>189</v>
      </c>
      <c r="B875" s="1">
        <f t="shared" si="52"/>
        <v>45101</v>
      </c>
      <c r="C875" s="1" t="str">
        <f t="shared" si="53"/>
        <v>Saturday</v>
      </c>
      <c r="D875" s="1" t="str">
        <f t="shared" si="54"/>
        <v>June</v>
      </c>
      <c r="E875" s="1" t="str">
        <f t="shared" si="55"/>
        <v>2023</v>
      </c>
      <c r="F875" t="s">
        <v>13</v>
      </c>
      <c r="G875" s="5">
        <v>149.473432796</v>
      </c>
      <c r="H875" s="10">
        <v>1</v>
      </c>
      <c r="I875" s="2">
        <v>202.48749359999999</v>
      </c>
      <c r="J875" t="s">
        <v>14</v>
      </c>
    </row>
    <row r="876" spans="1:10" x14ac:dyDescent="0.25">
      <c r="A876" t="s">
        <v>189</v>
      </c>
      <c r="B876" s="1">
        <f t="shared" si="52"/>
        <v>45101</v>
      </c>
      <c r="C876" s="1" t="str">
        <f t="shared" si="53"/>
        <v>Saturday</v>
      </c>
      <c r="D876" s="1" t="str">
        <f t="shared" si="54"/>
        <v>June</v>
      </c>
      <c r="E876" s="1" t="str">
        <f t="shared" si="55"/>
        <v>2023</v>
      </c>
      <c r="F876" t="s">
        <v>16</v>
      </c>
      <c r="G876" s="5">
        <v>156.88459915134999</v>
      </c>
      <c r="H876" s="10">
        <v>13</v>
      </c>
      <c r="I876" s="2">
        <v>300.21859192117302</v>
      </c>
      <c r="J876" t="s">
        <v>14</v>
      </c>
    </row>
    <row r="877" spans="1:10" x14ac:dyDescent="0.25">
      <c r="A877" t="s">
        <v>190</v>
      </c>
      <c r="B877" s="1">
        <f t="shared" si="52"/>
        <v>45102</v>
      </c>
      <c r="C877" s="1" t="str">
        <f t="shared" si="53"/>
        <v>Sunday</v>
      </c>
      <c r="D877" s="1" t="str">
        <f t="shared" si="54"/>
        <v>June</v>
      </c>
      <c r="E877" s="1" t="str">
        <f t="shared" si="55"/>
        <v>2023</v>
      </c>
      <c r="F877" t="s">
        <v>7</v>
      </c>
      <c r="G877" s="5">
        <v>44.313538250000001</v>
      </c>
      <c r="H877" s="10">
        <v>5</v>
      </c>
      <c r="I877" s="2">
        <v>80.060870863503894</v>
      </c>
      <c r="J877" t="s">
        <v>12</v>
      </c>
    </row>
    <row r="878" spans="1:10" x14ac:dyDescent="0.25">
      <c r="A878" t="s">
        <v>190</v>
      </c>
      <c r="B878" s="1">
        <f t="shared" si="52"/>
        <v>45102</v>
      </c>
      <c r="C878" s="1" t="str">
        <f t="shared" si="53"/>
        <v>Sunday</v>
      </c>
      <c r="D878" s="1" t="str">
        <f t="shared" si="54"/>
        <v>June</v>
      </c>
      <c r="E878" s="1" t="str">
        <f t="shared" si="55"/>
        <v>2023</v>
      </c>
      <c r="F878" t="s">
        <v>9</v>
      </c>
      <c r="G878" s="5">
        <v>576.95769849999999</v>
      </c>
      <c r="H878" s="10">
        <v>16</v>
      </c>
      <c r="I878" s="2">
        <v>209.37554284112599</v>
      </c>
      <c r="J878" t="s">
        <v>8</v>
      </c>
    </row>
    <row r="879" spans="1:10" x14ac:dyDescent="0.25">
      <c r="A879" t="s">
        <v>190</v>
      </c>
      <c r="B879" s="1">
        <f t="shared" si="52"/>
        <v>45102</v>
      </c>
      <c r="C879" s="1" t="str">
        <f t="shared" si="53"/>
        <v>Sunday</v>
      </c>
      <c r="D879" s="1" t="str">
        <f t="shared" si="54"/>
        <v>June</v>
      </c>
      <c r="E879" s="1" t="str">
        <f t="shared" si="55"/>
        <v>2023</v>
      </c>
      <c r="F879" t="s">
        <v>11</v>
      </c>
      <c r="G879" s="5">
        <v>765.8379753122</v>
      </c>
      <c r="H879" s="10">
        <v>9</v>
      </c>
      <c r="I879" s="2">
        <v>94.421873347235007</v>
      </c>
      <c r="J879" t="s">
        <v>8</v>
      </c>
    </row>
    <row r="880" spans="1:10" x14ac:dyDescent="0.25">
      <c r="A880" t="s">
        <v>190</v>
      </c>
      <c r="B880" s="1">
        <f t="shared" si="52"/>
        <v>45102</v>
      </c>
      <c r="C880" s="1" t="str">
        <f t="shared" si="53"/>
        <v>Sunday</v>
      </c>
      <c r="D880" s="1" t="str">
        <f t="shared" si="54"/>
        <v>June</v>
      </c>
      <c r="E880" s="1" t="str">
        <f t="shared" si="55"/>
        <v>2023</v>
      </c>
      <c r="F880" t="s">
        <v>13</v>
      </c>
      <c r="G880" s="5">
        <v>579.79782664431002</v>
      </c>
      <c r="H880" s="10">
        <v>5</v>
      </c>
      <c r="I880" s="2">
        <v>175.72641382109401</v>
      </c>
      <c r="J880" t="s">
        <v>8</v>
      </c>
    </row>
    <row r="881" spans="1:10" x14ac:dyDescent="0.25">
      <c r="A881" t="s">
        <v>190</v>
      </c>
      <c r="B881" s="1">
        <f t="shared" si="52"/>
        <v>45102</v>
      </c>
      <c r="C881" s="1" t="str">
        <f t="shared" si="53"/>
        <v>Sunday</v>
      </c>
      <c r="D881" s="1" t="str">
        <f t="shared" si="54"/>
        <v>June</v>
      </c>
      <c r="E881" s="1" t="str">
        <f t="shared" si="55"/>
        <v>2023</v>
      </c>
      <c r="F881" t="s">
        <v>16</v>
      </c>
      <c r="G881" s="5">
        <v>14.29961795324</v>
      </c>
      <c r="H881" s="10">
        <v>12</v>
      </c>
      <c r="I881" s="2">
        <v>359.16695309409499</v>
      </c>
      <c r="J881" t="s">
        <v>10</v>
      </c>
    </row>
    <row r="882" spans="1:10" x14ac:dyDescent="0.25">
      <c r="A882" t="s">
        <v>191</v>
      </c>
      <c r="B882" s="1">
        <f t="shared" si="52"/>
        <v>45103</v>
      </c>
      <c r="C882" s="1" t="str">
        <f t="shared" si="53"/>
        <v>Monday</v>
      </c>
      <c r="D882" s="1" t="str">
        <f t="shared" si="54"/>
        <v>June</v>
      </c>
      <c r="E882" s="1" t="str">
        <f t="shared" si="55"/>
        <v>2023</v>
      </c>
      <c r="F882" t="s">
        <v>7</v>
      </c>
      <c r="G882" s="5">
        <v>936.15752155551797</v>
      </c>
      <c r="H882" s="10">
        <v>9</v>
      </c>
      <c r="I882" s="2">
        <v>138.65393649644199</v>
      </c>
      <c r="J882" t="s">
        <v>8</v>
      </c>
    </row>
    <row r="883" spans="1:10" x14ac:dyDescent="0.25">
      <c r="A883" t="s">
        <v>191</v>
      </c>
      <c r="B883" s="1">
        <f t="shared" si="52"/>
        <v>45103</v>
      </c>
      <c r="C883" s="1" t="str">
        <f t="shared" si="53"/>
        <v>Monday</v>
      </c>
      <c r="D883" s="1" t="str">
        <f t="shared" si="54"/>
        <v>June</v>
      </c>
      <c r="E883" s="1" t="str">
        <f t="shared" si="55"/>
        <v>2023</v>
      </c>
      <c r="F883" t="s">
        <v>9</v>
      </c>
      <c r="G883" s="5">
        <v>988.78784264160004</v>
      </c>
      <c r="H883" s="10">
        <v>13</v>
      </c>
      <c r="I883" s="2">
        <v>313.02923710471299</v>
      </c>
      <c r="J883" t="s">
        <v>14</v>
      </c>
    </row>
    <row r="884" spans="1:10" x14ac:dyDescent="0.25">
      <c r="A884" t="s">
        <v>191</v>
      </c>
      <c r="B884" s="1">
        <f t="shared" si="52"/>
        <v>45103</v>
      </c>
      <c r="C884" s="1" t="str">
        <f t="shared" si="53"/>
        <v>Monday</v>
      </c>
      <c r="D884" s="1" t="str">
        <f t="shared" si="54"/>
        <v>June</v>
      </c>
      <c r="E884" s="1" t="str">
        <f t="shared" si="55"/>
        <v>2023</v>
      </c>
      <c r="F884" t="s">
        <v>11</v>
      </c>
      <c r="G884" s="5">
        <v>874.78995591847399</v>
      </c>
      <c r="H884" s="10">
        <v>17</v>
      </c>
      <c r="I884" s="2">
        <v>281.84669043486002</v>
      </c>
      <c r="J884" t="s">
        <v>8</v>
      </c>
    </row>
    <row r="885" spans="1:10" x14ac:dyDescent="0.25">
      <c r="A885" t="s">
        <v>191</v>
      </c>
      <c r="B885" s="1">
        <f t="shared" si="52"/>
        <v>45103</v>
      </c>
      <c r="C885" s="1" t="str">
        <f t="shared" si="53"/>
        <v>Monday</v>
      </c>
      <c r="D885" s="1" t="str">
        <f t="shared" si="54"/>
        <v>June</v>
      </c>
      <c r="E885" s="1" t="str">
        <f t="shared" si="55"/>
        <v>2023</v>
      </c>
      <c r="F885" t="s">
        <v>13</v>
      </c>
      <c r="G885" s="5">
        <v>911.47325699999999</v>
      </c>
      <c r="H885" s="10">
        <v>2</v>
      </c>
      <c r="I885" s="2">
        <v>236.58806703136</v>
      </c>
      <c r="J885" t="s">
        <v>14</v>
      </c>
    </row>
    <row r="886" spans="1:10" x14ac:dyDescent="0.25">
      <c r="A886" t="s">
        <v>191</v>
      </c>
      <c r="B886" s="1">
        <f t="shared" si="52"/>
        <v>45103</v>
      </c>
      <c r="C886" s="1" t="str">
        <f t="shared" si="53"/>
        <v>Monday</v>
      </c>
      <c r="D886" s="1" t="str">
        <f t="shared" si="54"/>
        <v>June</v>
      </c>
      <c r="E886" s="1" t="str">
        <f t="shared" si="55"/>
        <v>2023</v>
      </c>
      <c r="F886" t="s">
        <v>16</v>
      </c>
      <c r="G886" s="5">
        <v>626.28478766839999</v>
      </c>
      <c r="H886" s="10">
        <v>1</v>
      </c>
      <c r="I886" s="2">
        <v>127.492159113518</v>
      </c>
      <c r="J886" t="s">
        <v>12</v>
      </c>
    </row>
    <row r="887" spans="1:10" x14ac:dyDescent="0.25">
      <c r="A887" t="s">
        <v>192</v>
      </c>
      <c r="B887" s="1">
        <f t="shared" si="52"/>
        <v>45104</v>
      </c>
      <c r="C887" s="1" t="str">
        <f t="shared" si="53"/>
        <v>Tuesday</v>
      </c>
      <c r="D887" s="1" t="str">
        <f t="shared" si="54"/>
        <v>June</v>
      </c>
      <c r="E887" s="1" t="str">
        <f t="shared" si="55"/>
        <v>2023</v>
      </c>
      <c r="F887" t="s">
        <v>7</v>
      </c>
      <c r="G887" s="5">
        <v>116.4823329995</v>
      </c>
      <c r="H887" s="10">
        <v>11</v>
      </c>
      <c r="I887" s="2">
        <v>324.993288183066</v>
      </c>
      <c r="J887" t="s">
        <v>10</v>
      </c>
    </row>
    <row r="888" spans="1:10" x14ac:dyDescent="0.25">
      <c r="A888" t="s">
        <v>192</v>
      </c>
      <c r="B888" s="1">
        <f t="shared" si="52"/>
        <v>45104</v>
      </c>
      <c r="C888" s="1" t="str">
        <f t="shared" si="53"/>
        <v>Tuesday</v>
      </c>
      <c r="D888" s="1" t="str">
        <f t="shared" si="54"/>
        <v>June</v>
      </c>
      <c r="E888" s="1" t="str">
        <f t="shared" si="55"/>
        <v>2023</v>
      </c>
      <c r="F888" t="s">
        <v>9</v>
      </c>
      <c r="G888" s="5">
        <v>787.12643575248001</v>
      </c>
      <c r="H888" s="10">
        <v>19</v>
      </c>
      <c r="I888" s="2">
        <v>131.220516572722</v>
      </c>
      <c r="J888" t="s">
        <v>8</v>
      </c>
    </row>
    <row r="889" spans="1:10" x14ac:dyDescent="0.25">
      <c r="A889" t="s">
        <v>192</v>
      </c>
      <c r="B889" s="1">
        <f t="shared" si="52"/>
        <v>45104</v>
      </c>
      <c r="C889" s="1" t="str">
        <f t="shared" si="53"/>
        <v>Tuesday</v>
      </c>
      <c r="D889" s="1" t="str">
        <f t="shared" si="54"/>
        <v>June</v>
      </c>
      <c r="E889" s="1" t="str">
        <f t="shared" si="55"/>
        <v>2023</v>
      </c>
      <c r="F889" t="s">
        <v>11</v>
      </c>
      <c r="G889" s="5">
        <v>622.44852679739904</v>
      </c>
      <c r="H889" s="10">
        <v>10</v>
      </c>
      <c r="I889" s="2">
        <v>175.733281354756</v>
      </c>
      <c r="J889" t="s">
        <v>12</v>
      </c>
    </row>
    <row r="890" spans="1:10" x14ac:dyDescent="0.25">
      <c r="A890" t="s">
        <v>192</v>
      </c>
      <c r="B890" s="1">
        <f t="shared" si="52"/>
        <v>45104</v>
      </c>
      <c r="C890" s="1" t="str">
        <f t="shared" si="53"/>
        <v>Tuesday</v>
      </c>
      <c r="D890" s="1" t="str">
        <f t="shared" si="54"/>
        <v>June</v>
      </c>
      <c r="E890" s="1" t="str">
        <f t="shared" si="55"/>
        <v>2023</v>
      </c>
      <c r="F890" t="s">
        <v>13</v>
      </c>
      <c r="G890" s="5">
        <v>847.48318862257895</v>
      </c>
      <c r="H890" s="10">
        <v>19</v>
      </c>
      <c r="I890" s="2">
        <v>170.091697970589</v>
      </c>
      <c r="J890" t="s">
        <v>12</v>
      </c>
    </row>
    <row r="891" spans="1:10" x14ac:dyDescent="0.25">
      <c r="A891" t="s">
        <v>192</v>
      </c>
      <c r="B891" s="1">
        <f t="shared" si="52"/>
        <v>45104</v>
      </c>
      <c r="C891" s="1" t="str">
        <f t="shared" si="53"/>
        <v>Tuesday</v>
      </c>
      <c r="D891" s="1" t="str">
        <f t="shared" si="54"/>
        <v>June</v>
      </c>
      <c r="E891" s="1" t="str">
        <f t="shared" si="55"/>
        <v>2023</v>
      </c>
      <c r="F891" t="s">
        <v>16</v>
      </c>
      <c r="G891" s="5">
        <v>81.77738918947</v>
      </c>
      <c r="H891" s="10">
        <v>8</v>
      </c>
      <c r="I891" s="2">
        <v>317.40282343912099</v>
      </c>
      <c r="J891" t="s">
        <v>8</v>
      </c>
    </row>
    <row r="892" spans="1:10" x14ac:dyDescent="0.25">
      <c r="A892" t="s">
        <v>193</v>
      </c>
      <c r="B892" s="1">
        <f t="shared" si="52"/>
        <v>45105</v>
      </c>
      <c r="C892" s="1" t="str">
        <f t="shared" si="53"/>
        <v>Wednesday</v>
      </c>
      <c r="D892" s="1" t="str">
        <f t="shared" si="54"/>
        <v>June</v>
      </c>
      <c r="E892" s="1" t="str">
        <f t="shared" si="55"/>
        <v>2023</v>
      </c>
      <c r="F892" t="s">
        <v>7</v>
      </c>
      <c r="G892" s="5">
        <v>524.25632861199995</v>
      </c>
      <c r="H892" s="10">
        <v>19</v>
      </c>
      <c r="I892" s="2">
        <v>159.19767820486001</v>
      </c>
      <c r="J892" t="s">
        <v>14</v>
      </c>
    </row>
    <row r="893" spans="1:10" x14ac:dyDescent="0.25">
      <c r="A893" t="s">
        <v>193</v>
      </c>
      <c r="B893" s="1">
        <f t="shared" si="52"/>
        <v>45105</v>
      </c>
      <c r="C893" s="1" t="str">
        <f t="shared" si="53"/>
        <v>Wednesday</v>
      </c>
      <c r="D893" s="1" t="str">
        <f t="shared" si="54"/>
        <v>June</v>
      </c>
      <c r="E893" s="1" t="str">
        <f t="shared" si="55"/>
        <v>2023</v>
      </c>
      <c r="F893" t="s">
        <v>9</v>
      </c>
      <c r="G893" s="5">
        <v>436.22684458286</v>
      </c>
      <c r="H893" s="10">
        <v>15</v>
      </c>
      <c r="I893" s="2">
        <v>142.17757461316199</v>
      </c>
      <c r="J893" t="s">
        <v>8</v>
      </c>
    </row>
    <row r="894" spans="1:10" x14ac:dyDescent="0.25">
      <c r="A894" t="s">
        <v>193</v>
      </c>
      <c r="B894" s="1">
        <f t="shared" si="52"/>
        <v>45105</v>
      </c>
      <c r="C894" s="1" t="str">
        <f t="shared" si="53"/>
        <v>Wednesday</v>
      </c>
      <c r="D894" s="1" t="str">
        <f t="shared" si="54"/>
        <v>June</v>
      </c>
      <c r="E894" s="1" t="str">
        <f t="shared" si="55"/>
        <v>2023</v>
      </c>
      <c r="F894" t="s">
        <v>11</v>
      </c>
      <c r="G894" s="5">
        <v>29.275678294936</v>
      </c>
      <c r="H894" s="10">
        <v>1</v>
      </c>
      <c r="I894" s="2">
        <v>60.569754737363503</v>
      </c>
      <c r="J894" t="s">
        <v>14</v>
      </c>
    </row>
    <row r="895" spans="1:10" x14ac:dyDescent="0.25">
      <c r="A895" t="s">
        <v>193</v>
      </c>
      <c r="B895" s="1">
        <f t="shared" si="52"/>
        <v>45105</v>
      </c>
      <c r="C895" s="1" t="str">
        <f t="shared" si="53"/>
        <v>Wednesday</v>
      </c>
      <c r="D895" s="1" t="str">
        <f t="shared" si="54"/>
        <v>June</v>
      </c>
      <c r="E895" s="1" t="str">
        <f t="shared" si="55"/>
        <v>2023</v>
      </c>
      <c r="F895" t="s">
        <v>13</v>
      </c>
      <c r="G895" s="5">
        <v>11.1265197914</v>
      </c>
      <c r="H895" s="10">
        <v>15</v>
      </c>
      <c r="I895" s="2">
        <v>134.75471423542501</v>
      </c>
      <c r="J895" t="s">
        <v>8</v>
      </c>
    </row>
    <row r="896" spans="1:10" x14ac:dyDescent="0.25">
      <c r="A896" t="s">
        <v>193</v>
      </c>
      <c r="B896" s="1">
        <f t="shared" si="52"/>
        <v>45105</v>
      </c>
      <c r="C896" s="1" t="str">
        <f t="shared" si="53"/>
        <v>Wednesday</v>
      </c>
      <c r="D896" s="1" t="str">
        <f t="shared" si="54"/>
        <v>June</v>
      </c>
      <c r="E896" s="1" t="str">
        <f t="shared" si="55"/>
        <v>2023</v>
      </c>
      <c r="F896" t="s">
        <v>16</v>
      </c>
      <c r="G896" s="5">
        <v>1227.29886188199</v>
      </c>
      <c r="H896" s="10">
        <v>7</v>
      </c>
      <c r="I896" s="2">
        <v>175.32282044188401</v>
      </c>
      <c r="J896" t="s">
        <v>12</v>
      </c>
    </row>
    <row r="897" spans="1:10" x14ac:dyDescent="0.25">
      <c r="A897" t="s">
        <v>194</v>
      </c>
      <c r="B897" s="1">
        <f t="shared" si="52"/>
        <v>45106</v>
      </c>
      <c r="C897" s="1" t="str">
        <f t="shared" si="53"/>
        <v>Thursday</v>
      </c>
      <c r="D897" s="1" t="str">
        <f t="shared" si="54"/>
        <v>June</v>
      </c>
      <c r="E897" s="1" t="str">
        <f t="shared" si="55"/>
        <v>2023</v>
      </c>
      <c r="F897" t="s">
        <v>7</v>
      </c>
      <c r="G897" s="5">
        <v>997.74539718766005</v>
      </c>
      <c r="H897" s="10">
        <v>17</v>
      </c>
      <c r="I897" s="2">
        <v>161.510667843683</v>
      </c>
      <c r="J897" t="s">
        <v>8</v>
      </c>
    </row>
    <row r="898" spans="1:10" x14ac:dyDescent="0.25">
      <c r="A898" t="s">
        <v>194</v>
      </c>
      <c r="B898" s="1">
        <f t="shared" si="52"/>
        <v>45106</v>
      </c>
      <c r="C898" s="1" t="str">
        <f t="shared" si="53"/>
        <v>Thursday</v>
      </c>
      <c r="D898" s="1" t="str">
        <f t="shared" si="54"/>
        <v>June</v>
      </c>
      <c r="E898" s="1" t="str">
        <f t="shared" si="55"/>
        <v>2023</v>
      </c>
      <c r="F898" t="s">
        <v>9</v>
      </c>
      <c r="G898" s="5">
        <v>1224.7269532759201</v>
      </c>
      <c r="H898" s="10">
        <v>17</v>
      </c>
      <c r="I898" s="2">
        <v>472.04970444555101</v>
      </c>
      <c r="J898" t="s">
        <v>8</v>
      </c>
    </row>
    <row r="899" spans="1:10" x14ac:dyDescent="0.25">
      <c r="A899" t="s">
        <v>194</v>
      </c>
      <c r="B899" s="1">
        <f t="shared" ref="B899:B962" si="56">DATE(VALUE(RIGHT(A899,4)),VALUE(LEFT(A899,FIND("/",A899)-1)),VALUE(MID(A899,FIND("/",A899)+1,FIND("/",A899,FIND("/",A899)+1)-FIND("/",A899)-1)))</f>
        <v>45106</v>
      </c>
      <c r="C899" s="1" t="str">
        <f t="shared" ref="C899:C962" si="57">TEXT(B899,"DDDD")</f>
        <v>Thursday</v>
      </c>
      <c r="D899" s="1" t="str">
        <f t="shared" ref="D899:D962" si="58">TEXT(B899,"MMMM")</f>
        <v>June</v>
      </c>
      <c r="E899" s="1" t="str">
        <f t="shared" ref="E899:E962" si="59">TEXT(B899,"YYYY")</f>
        <v>2023</v>
      </c>
      <c r="F899" t="s">
        <v>11</v>
      </c>
      <c r="G899" s="5">
        <v>1332.6365147426</v>
      </c>
      <c r="H899" s="10">
        <v>17</v>
      </c>
      <c r="I899" s="2">
        <v>377.670495148035</v>
      </c>
      <c r="J899" t="s">
        <v>10</v>
      </c>
    </row>
    <row r="900" spans="1:10" x14ac:dyDescent="0.25">
      <c r="A900" t="s">
        <v>194</v>
      </c>
      <c r="B900" s="1">
        <f t="shared" si="56"/>
        <v>45106</v>
      </c>
      <c r="C900" s="1" t="str">
        <f t="shared" si="57"/>
        <v>Thursday</v>
      </c>
      <c r="D900" s="1" t="str">
        <f t="shared" si="58"/>
        <v>June</v>
      </c>
      <c r="E900" s="1" t="str">
        <f t="shared" si="59"/>
        <v>2023</v>
      </c>
      <c r="F900" t="s">
        <v>13</v>
      </c>
      <c r="G900" s="5">
        <v>986.28993679660005</v>
      </c>
      <c r="H900" s="10">
        <v>15</v>
      </c>
      <c r="I900" s="2">
        <v>360.67234982955301</v>
      </c>
      <c r="J900" t="s">
        <v>10</v>
      </c>
    </row>
    <row r="901" spans="1:10" x14ac:dyDescent="0.25">
      <c r="A901" t="s">
        <v>194</v>
      </c>
      <c r="B901" s="1">
        <f t="shared" si="56"/>
        <v>45106</v>
      </c>
      <c r="C901" s="1" t="str">
        <f t="shared" si="57"/>
        <v>Thursday</v>
      </c>
      <c r="D901" s="1" t="str">
        <f t="shared" si="58"/>
        <v>June</v>
      </c>
      <c r="E901" s="1" t="str">
        <f t="shared" si="59"/>
        <v>2023</v>
      </c>
      <c r="F901" t="s">
        <v>16</v>
      </c>
      <c r="G901" s="5">
        <v>77.524153731609999</v>
      </c>
      <c r="H901" s="10">
        <v>16</v>
      </c>
      <c r="I901" s="2">
        <v>79.356842992657505</v>
      </c>
      <c r="J901" t="s">
        <v>14</v>
      </c>
    </row>
    <row r="902" spans="1:10" x14ac:dyDescent="0.25">
      <c r="A902" t="s">
        <v>195</v>
      </c>
      <c r="B902" s="1">
        <f t="shared" si="56"/>
        <v>45107</v>
      </c>
      <c r="C902" s="1" t="str">
        <f t="shared" si="57"/>
        <v>Friday</v>
      </c>
      <c r="D902" s="1" t="str">
        <f t="shared" si="58"/>
        <v>June</v>
      </c>
      <c r="E902" s="1" t="str">
        <f t="shared" si="59"/>
        <v>2023</v>
      </c>
      <c r="F902" t="s">
        <v>7</v>
      </c>
      <c r="G902" s="5">
        <v>1315.3285362979</v>
      </c>
      <c r="H902" s="10">
        <v>16</v>
      </c>
      <c r="I902" s="2">
        <v>211.80859393671</v>
      </c>
      <c r="J902" t="s">
        <v>14</v>
      </c>
    </row>
    <row r="903" spans="1:10" x14ac:dyDescent="0.25">
      <c r="A903" t="s">
        <v>195</v>
      </c>
      <c r="B903" s="1">
        <f t="shared" si="56"/>
        <v>45107</v>
      </c>
      <c r="C903" s="1" t="str">
        <f t="shared" si="57"/>
        <v>Friday</v>
      </c>
      <c r="D903" s="1" t="str">
        <f t="shared" si="58"/>
        <v>June</v>
      </c>
      <c r="E903" s="1" t="str">
        <f t="shared" si="59"/>
        <v>2023</v>
      </c>
      <c r="F903" t="s">
        <v>9</v>
      </c>
      <c r="G903" s="5">
        <v>1246.22779119439</v>
      </c>
      <c r="H903" s="10">
        <v>19</v>
      </c>
      <c r="I903" s="2">
        <v>231.36547204354801</v>
      </c>
      <c r="J903" t="s">
        <v>10</v>
      </c>
    </row>
    <row r="904" spans="1:10" x14ac:dyDescent="0.25">
      <c r="A904" t="s">
        <v>195</v>
      </c>
      <c r="B904" s="1">
        <f t="shared" si="56"/>
        <v>45107</v>
      </c>
      <c r="C904" s="1" t="str">
        <f t="shared" si="57"/>
        <v>Friday</v>
      </c>
      <c r="D904" s="1" t="str">
        <f t="shared" si="58"/>
        <v>June</v>
      </c>
      <c r="E904" s="1" t="str">
        <f t="shared" si="59"/>
        <v>2023</v>
      </c>
      <c r="F904" t="s">
        <v>11</v>
      </c>
      <c r="G904" s="5">
        <v>64.225841623690002</v>
      </c>
      <c r="H904" s="10">
        <v>2</v>
      </c>
      <c r="I904" s="2">
        <v>133.75783523471799</v>
      </c>
      <c r="J904" t="s">
        <v>10</v>
      </c>
    </row>
    <row r="905" spans="1:10" x14ac:dyDescent="0.25">
      <c r="A905" t="s">
        <v>195</v>
      </c>
      <c r="B905" s="1">
        <f t="shared" si="56"/>
        <v>45107</v>
      </c>
      <c r="C905" s="1" t="str">
        <f t="shared" si="57"/>
        <v>Friday</v>
      </c>
      <c r="D905" s="1" t="str">
        <f t="shared" si="58"/>
        <v>June</v>
      </c>
      <c r="E905" s="1" t="str">
        <f t="shared" si="59"/>
        <v>2023</v>
      </c>
      <c r="F905" t="s">
        <v>13</v>
      </c>
      <c r="G905" s="5">
        <v>939.15887813200004</v>
      </c>
      <c r="H905" s="10">
        <v>3</v>
      </c>
      <c r="I905" s="2">
        <v>97.676681577784393</v>
      </c>
      <c r="J905" t="s">
        <v>12</v>
      </c>
    </row>
    <row r="906" spans="1:10" x14ac:dyDescent="0.25">
      <c r="A906" t="s">
        <v>195</v>
      </c>
      <c r="B906" s="1">
        <f t="shared" si="56"/>
        <v>45107</v>
      </c>
      <c r="C906" s="1" t="str">
        <f t="shared" si="57"/>
        <v>Friday</v>
      </c>
      <c r="D906" s="1" t="str">
        <f t="shared" si="58"/>
        <v>June</v>
      </c>
      <c r="E906" s="1" t="str">
        <f t="shared" si="59"/>
        <v>2023</v>
      </c>
      <c r="F906" t="s">
        <v>16</v>
      </c>
      <c r="G906" s="5">
        <v>1371.2314445239999</v>
      </c>
      <c r="H906" s="10">
        <v>19</v>
      </c>
      <c r="I906" s="2">
        <v>252.66939855237999</v>
      </c>
      <c r="J906" t="s">
        <v>12</v>
      </c>
    </row>
    <row r="907" spans="1:10" x14ac:dyDescent="0.25">
      <c r="A907" t="s">
        <v>196</v>
      </c>
      <c r="B907" s="1">
        <f t="shared" si="56"/>
        <v>45108</v>
      </c>
      <c r="C907" s="1" t="str">
        <f t="shared" si="57"/>
        <v>Saturday</v>
      </c>
      <c r="D907" s="1" t="str">
        <f t="shared" si="58"/>
        <v>July</v>
      </c>
      <c r="E907" s="1" t="str">
        <f t="shared" si="59"/>
        <v>2023</v>
      </c>
      <c r="F907" t="s">
        <v>7</v>
      </c>
      <c r="G907" s="5">
        <v>862.89535000000001</v>
      </c>
      <c r="H907" s="10">
        <v>8</v>
      </c>
      <c r="I907" s="2">
        <v>313.37684299945602</v>
      </c>
      <c r="J907" t="s">
        <v>14</v>
      </c>
    </row>
    <row r="908" spans="1:10" x14ac:dyDescent="0.25">
      <c r="A908" t="s">
        <v>196</v>
      </c>
      <c r="B908" s="1">
        <f t="shared" si="56"/>
        <v>45108</v>
      </c>
      <c r="C908" s="1" t="str">
        <f t="shared" si="57"/>
        <v>Saturday</v>
      </c>
      <c r="D908" s="1" t="str">
        <f t="shared" si="58"/>
        <v>July</v>
      </c>
      <c r="E908" s="1" t="str">
        <f t="shared" si="59"/>
        <v>2023</v>
      </c>
      <c r="F908" t="s">
        <v>9</v>
      </c>
      <c r="G908" s="5">
        <v>1171.5634198534999</v>
      </c>
      <c r="H908" s="10">
        <v>15</v>
      </c>
      <c r="I908" s="2">
        <v>140.55178206839199</v>
      </c>
      <c r="J908" t="s">
        <v>8</v>
      </c>
    </row>
    <row r="909" spans="1:10" x14ac:dyDescent="0.25">
      <c r="A909" t="s">
        <v>196</v>
      </c>
      <c r="B909" s="1">
        <f t="shared" si="56"/>
        <v>45108</v>
      </c>
      <c r="C909" s="1" t="str">
        <f t="shared" si="57"/>
        <v>Saturday</v>
      </c>
      <c r="D909" s="1" t="str">
        <f t="shared" si="58"/>
        <v>July</v>
      </c>
      <c r="E909" s="1" t="str">
        <f t="shared" si="59"/>
        <v>2023</v>
      </c>
      <c r="F909" t="s">
        <v>11</v>
      </c>
      <c r="G909" s="5">
        <v>775.36492346795001</v>
      </c>
      <c r="H909" s="10">
        <v>17</v>
      </c>
      <c r="I909" s="2">
        <v>94.774115930316498</v>
      </c>
      <c r="J909" t="s">
        <v>12</v>
      </c>
    </row>
    <row r="910" spans="1:10" x14ac:dyDescent="0.25">
      <c r="A910" t="s">
        <v>196</v>
      </c>
      <c r="B910" s="1">
        <f t="shared" si="56"/>
        <v>45108</v>
      </c>
      <c r="C910" s="1" t="str">
        <f t="shared" si="57"/>
        <v>Saturday</v>
      </c>
      <c r="D910" s="1" t="str">
        <f t="shared" si="58"/>
        <v>July</v>
      </c>
      <c r="E910" s="1" t="str">
        <f t="shared" si="59"/>
        <v>2023</v>
      </c>
      <c r="F910" t="s">
        <v>13</v>
      </c>
      <c r="G910" s="5">
        <v>187.79541622170001</v>
      </c>
      <c r="H910" s="10">
        <v>10</v>
      </c>
      <c r="I910" s="2">
        <v>213.587156872256</v>
      </c>
      <c r="J910" t="s">
        <v>10</v>
      </c>
    </row>
    <row r="911" spans="1:10" x14ac:dyDescent="0.25">
      <c r="A911" t="s">
        <v>196</v>
      </c>
      <c r="B911" s="1">
        <f t="shared" si="56"/>
        <v>45108</v>
      </c>
      <c r="C911" s="1" t="str">
        <f t="shared" si="57"/>
        <v>Saturday</v>
      </c>
      <c r="D911" s="1" t="str">
        <f t="shared" si="58"/>
        <v>July</v>
      </c>
      <c r="E911" s="1" t="str">
        <f t="shared" si="59"/>
        <v>2023</v>
      </c>
      <c r="F911" t="s">
        <v>16</v>
      </c>
      <c r="G911" s="5">
        <v>12.3996988517</v>
      </c>
      <c r="H911" s="10">
        <v>3</v>
      </c>
      <c r="I911" s="2">
        <v>205.64834425174899</v>
      </c>
      <c r="J911" t="s">
        <v>14</v>
      </c>
    </row>
    <row r="912" spans="1:10" x14ac:dyDescent="0.25">
      <c r="A912" t="s">
        <v>197</v>
      </c>
      <c r="B912" s="1">
        <f t="shared" si="56"/>
        <v>45109</v>
      </c>
      <c r="C912" s="1" t="str">
        <f t="shared" si="57"/>
        <v>Sunday</v>
      </c>
      <c r="D912" s="1" t="str">
        <f t="shared" si="58"/>
        <v>July</v>
      </c>
      <c r="E912" s="1" t="str">
        <f t="shared" si="59"/>
        <v>2023</v>
      </c>
      <c r="F912" t="s">
        <v>7</v>
      </c>
      <c r="G912" s="5">
        <v>1463.8275474100001</v>
      </c>
      <c r="H912" s="10">
        <v>4</v>
      </c>
      <c r="I912" s="2">
        <v>350.25217596642699</v>
      </c>
      <c r="J912" t="s">
        <v>14</v>
      </c>
    </row>
    <row r="913" spans="1:10" x14ac:dyDescent="0.25">
      <c r="A913" t="s">
        <v>197</v>
      </c>
      <c r="B913" s="1">
        <f t="shared" si="56"/>
        <v>45109</v>
      </c>
      <c r="C913" s="1" t="str">
        <f t="shared" si="57"/>
        <v>Sunday</v>
      </c>
      <c r="D913" s="1" t="str">
        <f t="shared" si="58"/>
        <v>July</v>
      </c>
      <c r="E913" s="1" t="str">
        <f t="shared" si="59"/>
        <v>2023</v>
      </c>
      <c r="F913" t="s">
        <v>9</v>
      </c>
      <c r="G913" s="5">
        <v>1243.34297773297</v>
      </c>
      <c r="H913" s="10">
        <v>11</v>
      </c>
      <c r="I913" s="2">
        <v>369.29629569999997</v>
      </c>
      <c r="J913" t="s">
        <v>10</v>
      </c>
    </row>
    <row r="914" spans="1:10" x14ac:dyDescent="0.25">
      <c r="A914" t="s">
        <v>197</v>
      </c>
      <c r="B914" s="1">
        <f t="shared" si="56"/>
        <v>45109</v>
      </c>
      <c r="C914" s="1" t="str">
        <f t="shared" si="57"/>
        <v>Sunday</v>
      </c>
      <c r="D914" s="1" t="str">
        <f t="shared" si="58"/>
        <v>July</v>
      </c>
      <c r="E914" s="1" t="str">
        <f t="shared" si="59"/>
        <v>2023</v>
      </c>
      <c r="F914" t="s">
        <v>11</v>
      </c>
      <c r="G914" s="5">
        <v>945.41824533422005</v>
      </c>
      <c r="H914" s="10">
        <v>2</v>
      </c>
      <c r="I914" s="2">
        <v>282.099980605692</v>
      </c>
      <c r="J914" t="s">
        <v>8</v>
      </c>
    </row>
    <row r="915" spans="1:10" x14ac:dyDescent="0.25">
      <c r="A915" t="s">
        <v>197</v>
      </c>
      <c r="B915" s="1">
        <f t="shared" si="56"/>
        <v>45109</v>
      </c>
      <c r="C915" s="1" t="str">
        <f t="shared" si="57"/>
        <v>Sunday</v>
      </c>
      <c r="D915" s="1" t="str">
        <f t="shared" si="58"/>
        <v>July</v>
      </c>
      <c r="E915" s="1" t="str">
        <f t="shared" si="59"/>
        <v>2023</v>
      </c>
      <c r="F915" t="s">
        <v>13</v>
      </c>
      <c r="G915" s="5">
        <v>1195.3484381956901</v>
      </c>
      <c r="H915" s="10">
        <v>9</v>
      </c>
      <c r="I915" s="2">
        <v>121.44028027203299</v>
      </c>
      <c r="J915" t="s">
        <v>14</v>
      </c>
    </row>
    <row r="916" spans="1:10" x14ac:dyDescent="0.25">
      <c r="A916" t="s">
        <v>197</v>
      </c>
      <c r="B916" s="1">
        <f t="shared" si="56"/>
        <v>45109</v>
      </c>
      <c r="C916" s="1" t="str">
        <f t="shared" si="57"/>
        <v>Sunday</v>
      </c>
      <c r="D916" s="1" t="str">
        <f t="shared" si="58"/>
        <v>July</v>
      </c>
      <c r="E916" s="1" t="str">
        <f t="shared" si="59"/>
        <v>2023</v>
      </c>
      <c r="F916" t="s">
        <v>16</v>
      </c>
      <c r="G916" s="5">
        <v>131.1816524466</v>
      </c>
      <c r="H916" s="10">
        <v>9</v>
      </c>
      <c r="I916" s="2">
        <v>283.69258722458602</v>
      </c>
      <c r="J916" t="s">
        <v>8</v>
      </c>
    </row>
    <row r="917" spans="1:10" x14ac:dyDescent="0.25">
      <c r="A917" t="s">
        <v>198</v>
      </c>
      <c r="B917" s="1">
        <f t="shared" si="56"/>
        <v>45110</v>
      </c>
      <c r="C917" s="1" t="str">
        <f t="shared" si="57"/>
        <v>Monday</v>
      </c>
      <c r="D917" s="1" t="str">
        <f t="shared" si="58"/>
        <v>July</v>
      </c>
      <c r="E917" s="1" t="str">
        <f t="shared" si="59"/>
        <v>2023</v>
      </c>
      <c r="F917" t="s">
        <v>7</v>
      </c>
      <c r="G917" s="5">
        <v>826.28423561582304</v>
      </c>
      <c r="H917" s="10">
        <v>16</v>
      </c>
      <c r="I917" s="2">
        <v>268.97543025806903</v>
      </c>
      <c r="J917" t="s">
        <v>10</v>
      </c>
    </row>
    <row r="918" spans="1:10" x14ac:dyDescent="0.25">
      <c r="A918" t="s">
        <v>198</v>
      </c>
      <c r="B918" s="1">
        <f t="shared" si="56"/>
        <v>45110</v>
      </c>
      <c r="C918" s="1" t="str">
        <f t="shared" si="57"/>
        <v>Monday</v>
      </c>
      <c r="D918" s="1" t="str">
        <f t="shared" si="58"/>
        <v>July</v>
      </c>
      <c r="E918" s="1" t="str">
        <f t="shared" si="59"/>
        <v>2023</v>
      </c>
      <c r="F918" t="s">
        <v>9</v>
      </c>
      <c r="G918" s="5">
        <v>1337.88896779724</v>
      </c>
      <c r="H918" s="10">
        <v>3</v>
      </c>
      <c r="I918" s="2">
        <v>403.16915056653102</v>
      </c>
      <c r="J918" t="s">
        <v>14</v>
      </c>
    </row>
    <row r="919" spans="1:10" x14ac:dyDescent="0.25">
      <c r="A919" t="s">
        <v>198</v>
      </c>
      <c r="B919" s="1">
        <f t="shared" si="56"/>
        <v>45110</v>
      </c>
      <c r="C919" s="1" t="str">
        <f t="shared" si="57"/>
        <v>Monday</v>
      </c>
      <c r="D919" s="1" t="str">
        <f t="shared" si="58"/>
        <v>July</v>
      </c>
      <c r="E919" s="1" t="str">
        <f t="shared" si="59"/>
        <v>2023</v>
      </c>
      <c r="F919" t="s">
        <v>11</v>
      </c>
      <c r="G919" s="5">
        <v>1231.97629639511</v>
      </c>
      <c r="H919" s="10">
        <v>12</v>
      </c>
      <c r="I919" s="2">
        <v>397.52912939999999</v>
      </c>
      <c r="J919" t="s">
        <v>10</v>
      </c>
    </row>
    <row r="920" spans="1:10" x14ac:dyDescent="0.25">
      <c r="A920" t="s">
        <v>198</v>
      </c>
      <c r="B920" s="1">
        <f t="shared" si="56"/>
        <v>45110</v>
      </c>
      <c r="C920" s="1" t="str">
        <f t="shared" si="57"/>
        <v>Monday</v>
      </c>
      <c r="D920" s="1" t="str">
        <f t="shared" si="58"/>
        <v>July</v>
      </c>
      <c r="E920" s="1" t="str">
        <f t="shared" si="59"/>
        <v>2023</v>
      </c>
      <c r="F920" t="s">
        <v>13</v>
      </c>
      <c r="G920" s="5">
        <v>63.559375421737002</v>
      </c>
      <c r="H920" s="10">
        <v>6</v>
      </c>
      <c r="I920" s="2">
        <v>204.92759720000001</v>
      </c>
      <c r="J920" t="s">
        <v>8</v>
      </c>
    </row>
    <row r="921" spans="1:10" x14ac:dyDescent="0.25">
      <c r="A921" t="s">
        <v>198</v>
      </c>
      <c r="B921" s="1">
        <f t="shared" si="56"/>
        <v>45110</v>
      </c>
      <c r="C921" s="1" t="str">
        <f t="shared" si="57"/>
        <v>Monday</v>
      </c>
      <c r="D921" s="1" t="str">
        <f t="shared" si="58"/>
        <v>July</v>
      </c>
      <c r="E921" s="1" t="str">
        <f t="shared" si="59"/>
        <v>2023</v>
      </c>
      <c r="F921" t="s">
        <v>16</v>
      </c>
      <c r="G921" s="5">
        <v>1392.2452568629999</v>
      </c>
      <c r="H921" s="10">
        <v>16</v>
      </c>
      <c r="I921" s="2">
        <v>456.11986780000001</v>
      </c>
      <c r="J921" t="s">
        <v>10</v>
      </c>
    </row>
    <row r="922" spans="1:10" x14ac:dyDescent="0.25">
      <c r="A922" t="s">
        <v>199</v>
      </c>
      <c r="B922" s="1">
        <f t="shared" si="56"/>
        <v>45111</v>
      </c>
      <c r="C922" s="1" t="str">
        <f t="shared" si="57"/>
        <v>Tuesday</v>
      </c>
      <c r="D922" s="1" t="str">
        <f t="shared" si="58"/>
        <v>July</v>
      </c>
      <c r="E922" s="1" t="str">
        <f t="shared" si="59"/>
        <v>2023</v>
      </c>
      <c r="F922" t="s">
        <v>7</v>
      </c>
      <c r="G922" s="5">
        <v>144.77192622300001</v>
      </c>
      <c r="H922" s="10">
        <v>10</v>
      </c>
      <c r="I922" s="2">
        <v>394.23798813274601</v>
      </c>
      <c r="J922" t="s">
        <v>12</v>
      </c>
    </row>
    <row r="923" spans="1:10" x14ac:dyDescent="0.25">
      <c r="A923" t="s">
        <v>199</v>
      </c>
      <c r="B923" s="1">
        <f t="shared" si="56"/>
        <v>45111</v>
      </c>
      <c r="C923" s="1" t="str">
        <f t="shared" si="57"/>
        <v>Tuesday</v>
      </c>
      <c r="D923" s="1" t="str">
        <f t="shared" si="58"/>
        <v>July</v>
      </c>
      <c r="E923" s="1" t="str">
        <f t="shared" si="59"/>
        <v>2023</v>
      </c>
      <c r="F923" t="s">
        <v>9</v>
      </c>
      <c r="G923" s="5">
        <v>892.61685579649998</v>
      </c>
      <c r="H923" s="10">
        <v>10</v>
      </c>
      <c r="I923" s="2">
        <v>171.44612705688101</v>
      </c>
      <c r="J923" t="s">
        <v>8</v>
      </c>
    </row>
    <row r="924" spans="1:10" x14ac:dyDescent="0.25">
      <c r="A924" t="s">
        <v>199</v>
      </c>
      <c r="B924" s="1">
        <f t="shared" si="56"/>
        <v>45111</v>
      </c>
      <c r="C924" s="1" t="str">
        <f t="shared" si="57"/>
        <v>Tuesday</v>
      </c>
      <c r="D924" s="1" t="str">
        <f t="shared" si="58"/>
        <v>July</v>
      </c>
      <c r="E924" s="1" t="str">
        <f t="shared" si="59"/>
        <v>2023</v>
      </c>
      <c r="F924" t="s">
        <v>11</v>
      </c>
      <c r="G924" s="5">
        <v>73.657957238600005</v>
      </c>
      <c r="H924" s="10">
        <v>8</v>
      </c>
      <c r="I924" s="2">
        <v>194.595669345998</v>
      </c>
      <c r="J924" t="s">
        <v>8</v>
      </c>
    </row>
    <row r="925" spans="1:10" x14ac:dyDescent="0.25">
      <c r="A925" t="s">
        <v>199</v>
      </c>
      <c r="B925" s="1">
        <f t="shared" si="56"/>
        <v>45111</v>
      </c>
      <c r="C925" s="1" t="str">
        <f t="shared" si="57"/>
        <v>Tuesday</v>
      </c>
      <c r="D925" s="1" t="str">
        <f t="shared" si="58"/>
        <v>July</v>
      </c>
      <c r="E925" s="1" t="str">
        <f t="shared" si="59"/>
        <v>2023</v>
      </c>
      <c r="F925" t="s">
        <v>13</v>
      </c>
      <c r="G925" s="5">
        <v>1279.9697344946901</v>
      </c>
      <c r="H925" s="10">
        <v>8</v>
      </c>
      <c r="I925" s="2">
        <v>358.30371270000001</v>
      </c>
      <c r="J925" t="s">
        <v>12</v>
      </c>
    </row>
    <row r="926" spans="1:10" x14ac:dyDescent="0.25">
      <c r="A926" t="s">
        <v>199</v>
      </c>
      <c r="B926" s="1">
        <f t="shared" si="56"/>
        <v>45111</v>
      </c>
      <c r="C926" s="1" t="str">
        <f t="shared" si="57"/>
        <v>Tuesday</v>
      </c>
      <c r="D926" s="1" t="str">
        <f t="shared" si="58"/>
        <v>July</v>
      </c>
      <c r="E926" s="1" t="str">
        <f t="shared" si="59"/>
        <v>2023</v>
      </c>
      <c r="F926" t="s">
        <v>16</v>
      </c>
      <c r="G926" s="5">
        <v>1255.194333467</v>
      </c>
      <c r="H926" s="10">
        <v>12</v>
      </c>
      <c r="I926" s="2">
        <v>406.33904729496999</v>
      </c>
      <c r="J926" t="s">
        <v>14</v>
      </c>
    </row>
    <row r="927" spans="1:10" x14ac:dyDescent="0.25">
      <c r="A927" t="s">
        <v>200</v>
      </c>
      <c r="B927" s="1">
        <f t="shared" si="56"/>
        <v>45112</v>
      </c>
      <c r="C927" s="1" t="str">
        <f t="shared" si="57"/>
        <v>Wednesday</v>
      </c>
      <c r="D927" s="1" t="str">
        <f t="shared" si="58"/>
        <v>July</v>
      </c>
      <c r="E927" s="1" t="str">
        <f t="shared" si="59"/>
        <v>2023</v>
      </c>
      <c r="F927" t="s">
        <v>7</v>
      </c>
      <c r="G927" s="5">
        <v>952.97737726531705</v>
      </c>
      <c r="H927" s="10">
        <v>17</v>
      </c>
      <c r="I927" s="2">
        <v>262.45037666761601</v>
      </c>
      <c r="J927" t="s">
        <v>12</v>
      </c>
    </row>
    <row r="928" spans="1:10" x14ac:dyDescent="0.25">
      <c r="A928" t="s">
        <v>200</v>
      </c>
      <c r="B928" s="1">
        <f t="shared" si="56"/>
        <v>45112</v>
      </c>
      <c r="C928" s="1" t="str">
        <f t="shared" si="57"/>
        <v>Wednesday</v>
      </c>
      <c r="D928" s="1" t="str">
        <f t="shared" si="58"/>
        <v>July</v>
      </c>
      <c r="E928" s="1" t="str">
        <f t="shared" si="59"/>
        <v>2023</v>
      </c>
      <c r="F928" t="s">
        <v>9</v>
      </c>
      <c r="G928" s="5">
        <v>1346.765525</v>
      </c>
      <c r="H928" s="10">
        <v>18</v>
      </c>
      <c r="I928" s="2">
        <v>521.938104859242</v>
      </c>
      <c r="J928" t="s">
        <v>8</v>
      </c>
    </row>
    <row r="929" spans="1:10" x14ac:dyDescent="0.25">
      <c r="A929" t="s">
        <v>200</v>
      </c>
      <c r="B929" s="1">
        <f t="shared" si="56"/>
        <v>45112</v>
      </c>
      <c r="C929" s="1" t="str">
        <f t="shared" si="57"/>
        <v>Wednesday</v>
      </c>
      <c r="D929" s="1" t="str">
        <f t="shared" si="58"/>
        <v>July</v>
      </c>
      <c r="E929" s="1" t="str">
        <f t="shared" si="59"/>
        <v>2023</v>
      </c>
      <c r="F929" t="s">
        <v>11</v>
      </c>
      <c r="G929" s="5">
        <v>873.71833429231401</v>
      </c>
      <c r="H929" s="10">
        <v>6</v>
      </c>
      <c r="I929" s="2">
        <v>227.14529073038599</v>
      </c>
      <c r="J929" t="s">
        <v>10</v>
      </c>
    </row>
    <row r="930" spans="1:10" x14ac:dyDescent="0.25">
      <c r="A930" t="s">
        <v>200</v>
      </c>
      <c r="B930" s="1">
        <f t="shared" si="56"/>
        <v>45112</v>
      </c>
      <c r="C930" s="1" t="str">
        <f t="shared" si="57"/>
        <v>Wednesday</v>
      </c>
      <c r="D930" s="1" t="str">
        <f t="shared" si="58"/>
        <v>July</v>
      </c>
      <c r="E930" s="1" t="str">
        <f t="shared" si="59"/>
        <v>2023</v>
      </c>
      <c r="F930" t="s">
        <v>13</v>
      </c>
      <c r="G930" s="5">
        <v>151.55181938499999</v>
      </c>
      <c r="H930" s="10">
        <v>1</v>
      </c>
      <c r="I930" s="2">
        <v>271.94951488329002</v>
      </c>
      <c r="J930" t="s">
        <v>14</v>
      </c>
    </row>
    <row r="931" spans="1:10" x14ac:dyDescent="0.25">
      <c r="A931" t="s">
        <v>200</v>
      </c>
      <c r="B931" s="1">
        <f t="shared" si="56"/>
        <v>45112</v>
      </c>
      <c r="C931" s="1" t="str">
        <f t="shared" si="57"/>
        <v>Wednesday</v>
      </c>
      <c r="D931" s="1" t="str">
        <f t="shared" si="58"/>
        <v>July</v>
      </c>
      <c r="E931" s="1" t="str">
        <f t="shared" si="59"/>
        <v>2023</v>
      </c>
      <c r="F931" t="s">
        <v>16</v>
      </c>
      <c r="G931" s="5">
        <v>1165.9753659954299</v>
      </c>
      <c r="H931" s="10">
        <v>14</v>
      </c>
      <c r="I931" s="2">
        <v>193.10264167379501</v>
      </c>
      <c r="J931" t="s">
        <v>14</v>
      </c>
    </row>
    <row r="932" spans="1:10" x14ac:dyDescent="0.25">
      <c r="A932" t="s">
        <v>201</v>
      </c>
      <c r="B932" s="1">
        <f t="shared" si="56"/>
        <v>45113</v>
      </c>
      <c r="C932" s="1" t="str">
        <f t="shared" si="57"/>
        <v>Thursday</v>
      </c>
      <c r="D932" s="1" t="str">
        <f t="shared" si="58"/>
        <v>July</v>
      </c>
      <c r="E932" s="1" t="str">
        <f t="shared" si="59"/>
        <v>2023</v>
      </c>
      <c r="F932" t="s">
        <v>7</v>
      </c>
      <c r="G932" s="5">
        <v>1184.2769417754</v>
      </c>
      <c r="H932" s="10">
        <v>6</v>
      </c>
      <c r="I932" s="2">
        <v>397.90859045952698</v>
      </c>
      <c r="J932" t="s">
        <v>12</v>
      </c>
    </row>
    <row r="933" spans="1:10" x14ac:dyDescent="0.25">
      <c r="A933" t="s">
        <v>201</v>
      </c>
      <c r="B933" s="1">
        <f t="shared" si="56"/>
        <v>45113</v>
      </c>
      <c r="C933" s="1" t="str">
        <f t="shared" si="57"/>
        <v>Thursday</v>
      </c>
      <c r="D933" s="1" t="str">
        <f t="shared" si="58"/>
        <v>July</v>
      </c>
      <c r="E933" s="1" t="str">
        <f t="shared" si="59"/>
        <v>2023</v>
      </c>
      <c r="F933" t="s">
        <v>9</v>
      </c>
      <c r="G933" s="5">
        <v>1158.5178435631001</v>
      </c>
      <c r="H933" s="10">
        <v>5</v>
      </c>
      <c r="I933" s="2">
        <v>375.76708412375899</v>
      </c>
      <c r="J933" t="s">
        <v>8</v>
      </c>
    </row>
    <row r="934" spans="1:10" x14ac:dyDescent="0.25">
      <c r="A934" t="s">
        <v>201</v>
      </c>
      <c r="B934" s="1">
        <f t="shared" si="56"/>
        <v>45113</v>
      </c>
      <c r="C934" s="1" t="str">
        <f t="shared" si="57"/>
        <v>Thursday</v>
      </c>
      <c r="D934" s="1" t="str">
        <f t="shared" si="58"/>
        <v>July</v>
      </c>
      <c r="E934" s="1" t="str">
        <f t="shared" si="59"/>
        <v>2023</v>
      </c>
      <c r="F934" t="s">
        <v>11</v>
      </c>
      <c r="G934" s="5">
        <v>861.97712375995002</v>
      </c>
      <c r="H934" s="10">
        <v>6</v>
      </c>
      <c r="I934" s="2">
        <v>193.57617807592899</v>
      </c>
      <c r="J934" t="s">
        <v>14</v>
      </c>
    </row>
    <row r="935" spans="1:10" x14ac:dyDescent="0.25">
      <c r="A935" t="s">
        <v>201</v>
      </c>
      <c r="B935" s="1">
        <f t="shared" si="56"/>
        <v>45113</v>
      </c>
      <c r="C935" s="1" t="str">
        <f t="shared" si="57"/>
        <v>Thursday</v>
      </c>
      <c r="D935" s="1" t="str">
        <f t="shared" si="58"/>
        <v>July</v>
      </c>
      <c r="E935" s="1" t="str">
        <f t="shared" si="59"/>
        <v>2023</v>
      </c>
      <c r="F935" t="s">
        <v>13</v>
      </c>
      <c r="G935" s="5">
        <v>98.837147238</v>
      </c>
      <c r="H935" s="10">
        <v>3</v>
      </c>
      <c r="I935" s="2">
        <v>340.38118017403201</v>
      </c>
      <c r="J935" t="s">
        <v>14</v>
      </c>
    </row>
    <row r="936" spans="1:10" x14ac:dyDescent="0.25">
      <c r="A936" t="s">
        <v>201</v>
      </c>
      <c r="B936" s="1">
        <f t="shared" si="56"/>
        <v>45113</v>
      </c>
      <c r="C936" s="1" t="str">
        <f t="shared" si="57"/>
        <v>Thursday</v>
      </c>
      <c r="D936" s="1" t="str">
        <f t="shared" si="58"/>
        <v>July</v>
      </c>
      <c r="E936" s="1" t="str">
        <f t="shared" si="59"/>
        <v>2023</v>
      </c>
      <c r="F936" t="s">
        <v>16</v>
      </c>
      <c r="G936" s="5">
        <v>128.6325983239</v>
      </c>
      <c r="H936" s="10">
        <v>6</v>
      </c>
      <c r="I936" s="2">
        <v>235.236915776394</v>
      </c>
      <c r="J936" t="s">
        <v>12</v>
      </c>
    </row>
    <row r="937" spans="1:10" x14ac:dyDescent="0.25">
      <c r="A937" t="s">
        <v>202</v>
      </c>
      <c r="B937" s="1">
        <f t="shared" si="56"/>
        <v>45114</v>
      </c>
      <c r="C937" s="1" t="str">
        <f t="shared" si="57"/>
        <v>Friday</v>
      </c>
      <c r="D937" s="1" t="str">
        <f t="shared" si="58"/>
        <v>July</v>
      </c>
      <c r="E937" s="1" t="str">
        <f t="shared" si="59"/>
        <v>2023</v>
      </c>
      <c r="F937" t="s">
        <v>7</v>
      </c>
      <c r="G937" s="5">
        <v>92.965535175325002</v>
      </c>
      <c r="H937" s="10">
        <v>8</v>
      </c>
      <c r="I937" s="2">
        <v>295.508981560363</v>
      </c>
      <c r="J937" t="s">
        <v>10</v>
      </c>
    </row>
    <row r="938" spans="1:10" x14ac:dyDescent="0.25">
      <c r="A938" t="s">
        <v>202</v>
      </c>
      <c r="B938" s="1">
        <f t="shared" si="56"/>
        <v>45114</v>
      </c>
      <c r="C938" s="1" t="str">
        <f t="shared" si="57"/>
        <v>Friday</v>
      </c>
      <c r="D938" s="1" t="str">
        <f t="shared" si="58"/>
        <v>July</v>
      </c>
      <c r="E938" s="1" t="str">
        <f t="shared" si="59"/>
        <v>2023</v>
      </c>
      <c r="F938" t="s">
        <v>9</v>
      </c>
      <c r="G938" s="5">
        <v>859.25529100000006</v>
      </c>
      <c r="H938" s="10">
        <v>6</v>
      </c>
      <c r="I938" s="2">
        <v>110.39315092645199</v>
      </c>
      <c r="J938" t="s">
        <v>14</v>
      </c>
    </row>
    <row r="939" spans="1:10" x14ac:dyDescent="0.25">
      <c r="A939" t="s">
        <v>202</v>
      </c>
      <c r="B939" s="1">
        <f t="shared" si="56"/>
        <v>45114</v>
      </c>
      <c r="C939" s="1" t="str">
        <f t="shared" si="57"/>
        <v>Friday</v>
      </c>
      <c r="D939" s="1" t="str">
        <f t="shared" si="58"/>
        <v>July</v>
      </c>
      <c r="E939" s="1" t="str">
        <f t="shared" si="59"/>
        <v>2023</v>
      </c>
      <c r="F939" t="s">
        <v>11</v>
      </c>
      <c r="G939" s="5">
        <v>1193.3884738953</v>
      </c>
      <c r="H939" s="10">
        <v>12</v>
      </c>
      <c r="I939" s="2">
        <v>236.28110200553999</v>
      </c>
      <c r="J939" t="s">
        <v>10</v>
      </c>
    </row>
    <row r="940" spans="1:10" x14ac:dyDescent="0.25">
      <c r="A940" t="s">
        <v>202</v>
      </c>
      <c r="B940" s="1">
        <f t="shared" si="56"/>
        <v>45114</v>
      </c>
      <c r="C940" s="1" t="str">
        <f t="shared" si="57"/>
        <v>Friday</v>
      </c>
      <c r="D940" s="1" t="str">
        <f t="shared" si="58"/>
        <v>July</v>
      </c>
      <c r="E940" s="1" t="str">
        <f t="shared" si="59"/>
        <v>2023</v>
      </c>
      <c r="F940" t="s">
        <v>13</v>
      </c>
      <c r="G940" s="5">
        <v>118.739829</v>
      </c>
      <c r="H940" s="10">
        <v>3</v>
      </c>
      <c r="I940" s="2">
        <v>471.45582236836901</v>
      </c>
      <c r="J940" t="s">
        <v>10</v>
      </c>
    </row>
    <row r="941" spans="1:10" x14ac:dyDescent="0.25">
      <c r="A941" t="s">
        <v>202</v>
      </c>
      <c r="B941" s="1">
        <f t="shared" si="56"/>
        <v>45114</v>
      </c>
      <c r="C941" s="1" t="str">
        <f t="shared" si="57"/>
        <v>Friday</v>
      </c>
      <c r="D941" s="1" t="str">
        <f t="shared" si="58"/>
        <v>July</v>
      </c>
      <c r="E941" s="1" t="str">
        <f t="shared" si="59"/>
        <v>2023</v>
      </c>
      <c r="F941" t="s">
        <v>16</v>
      </c>
      <c r="G941" s="5">
        <v>1312.5556431243999</v>
      </c>
      <c r="H941" s="10">
        <v>15</v>
      </c>
      <c r="I941" s="2">
        <v>250.97255924712201</v>
      </c>
      <c r="J941" t="s">
        <v>8</v>
      </c>
    </row>
    <row r="942" spans="1:10" x14ac:dyDescent="0.25">
      <c r="A942" t="s">
        <v>203</v>
      </c>
      <c r="B942" s="1">
        <f t="shared" si="56"/>
        <v>45115</v>
      </c>
      <c r="C942" s="1" t="str">
        <f t="shared" si="57"/>
        <v>Saturday</v>
      </c>
      <c r="D942" s="1" t="str">
        <f t="shared" si="58"/>
        <v>July</v>
      </c>
      <c r="E942" s="1" t="str">
        <f t="shared" si="59"/>
        <v>2023</v>
      </c>
      <c r="F942" t="s">
        <v>7</v>
      </c>
      <c r="G942" s="5">
        <v>1364.4391176831</v>
      </c>
      <c r="H942" s="10">
        <v>11</v>
      </c>
      <c r="I942" s="2">
        <v>142.05116311434799</v>
      </c>
      <c r="J942" t="s">
        <v>14</v>
      </c>
    </row>
    <row r="943" spans="1:10" x14ac:dyDescent="0.25">
      <c r="A943" t="s">
        <v>203</v>
      </c>
      <c r="B943" s="1">
        <f t="shared" si="56"/>
        <v>45115</v>
      </c>
      <c r="C943" s="1" t="str">
        <f t="shared" si="57"/>
        <v>Saturday</v>
      </c>
      <c r="D943" s="1" t="str">
        <f t="shared" si="58"/>
        <v>July</v>
      </c>
      <c r="E943" s="1" t="str">
        <f t="shared" si="59"/>
        <v>2023</v>
      </c>
      <c r="F943" t="s">
        <v>9</v>
      </c>
      <c r="G943" s="5">
        <v>82.729492699100007</v>
      </c>
      <c r="H943" s="10">
        <v>16</v>
      </c>
      <c r="I943" s="2">
        <v>158.94156318602401</v>
      </c>
      <c r="J943" t="s">
        <v>12</v>
      </c>
    </row>
    <row r="944" spans="1:10" x14ac:dyDescent="0.25">
      <c r="A944" t="s">
        <v>203</v>
      </c>
      <c r="B944" s="1">
        <f t="shared" si="56"/>
        <v>45115</v>
      </c>
      <c r="C944" s="1" t="str">
        <f t="shared" si="57"/>
        <v>Saturday</v>
      </c>
      <c r="D944" s="1" t="str">
        <f t="shared" si="58"/>
        <v>July</v>
      </c>
      <c r="E944" s="1" t="str">
        <f t="shared" si="59"/>
        <v>2023</v>
      </c>
      <c r="F944" t="s">
        <v>11</v>
      </c>
      <c r="G944" s="5">
        <v>14.479743533000001</v>
      </c>
      <c r="H944" s="10">
        <v>15</v>
      </c>
      <c r="I944" s="2">
        <v>355.00638914160299</v>
      </c>
      <c r="J944" t="s">
        <v>12</v>
      </c>
    </row>
    <row r="945" spans="1:10" x14ac:dyDescent="0.25">
      <c r="A945" t="s">
        <v>203</v>
      </c>
      <c r="B945" s="1">
        <f t="shared" si="56"/>
        <v>45115</v>
      </c>
      <c r="C945" s="1" t="str">
        <f t="shared" si="57"/>
        <v>Saturday</v>
      </c>
      <c r="D945" s="1" t="str">
        <f t="shared" si="58"/>
        <v>July</v>
      </c>
      <c r="E945" s="1" t="str">
        <f t="shared" si="59"/>
        <v>2023</v>
      </c>
      <c r="F945" t="s">
        <v>13</v>
      </c>
      <c r="G945" s="5">
        <v>1188.9249635195999</v>
      </c>
      <c r="H945" s="10">
        <v>3</v>
      </c>
      <c r="I945" s="2">
        <v>453.603554206811</v>
      </c>
      <c r="J945" t="s">
        <v>8</v>
      </c>
    </row>
    <row r="946" spans="1:10" x14ac:dyDescent="0.25">
      <c r="A946" t="s">
        <v>203</v>
      </c>
      <c r="B946" s="1">
        <f t="shared" si="56"/>
        <v>45115</v>
      </c>
      <c r="C946" s="1" t="str">
        <f t="shared" si="57"/>
        <v>Saturday</v>
      </c>
      <c r="D946" s="1" t="str">
        <f t="shared" si="58"/>
        <v>July</v>
      </c>
      <c r="E946" s="1" t="str">
        <f t="shared" si="59"/>
        <v>2023</v>
      </c>
      <c r="F946" t="s">
        <v>16</v>
      </c>
      <c r="G946" s="5">
        <v>174.79257869251001</v>
      </c>
      <c r="H946" s="10">
        <v>4</v>
      </c>
      <c r="I946" s="2">
        <v>426.911639633145</v>
      </c>
      <c r="J946" t="s">
        <v>10</v>
      </c>
    </row>
    <row r="947" spans="1:10" x14ac:dyDescent="0.25">
      <c r="A947" t="s">
        <v>204</v>
      </c>
      <c r="B947" s="1">
        <f t="shared" si="56"/>
        <v>45116</v>
      </c>
      <c r="C947" s="1" t="str">
        <f t="shared" si="57"/>
        <v>Sunday</v>
      </c>
      <c r="D947" s="1" t="str">
        <f t="shared" si="58"/>
        <v>July</v>
      </c>
      <c r="E947" s="1" t="str">
        <f t="shared" si="59"/>
        <v>2023</v>
      </c>
      <c r="F947" t="s">
        <v>7</v>
      </c>
      <c r="G947" s="5">
        <v>1313.5265422254199</v>
      </c>
      <c r="H947" s="10">
        <v>19</v>
      </c>
      <c r="I947" s="2">
        <v>305.64205009912899</v>
      </c>
      <c r="J947" t="s">
        <v>12</v>
      </c>
    </row>
    <row r="948" spans="1:10" x14ac:dyDescent="0.25">
      <c r="A948" t="s">
        <v>204</v>
      </c>
      <c r="B948" s="1">
        <f t="shared" si="56"/>
        <v>45116</v>
      </c>
      <c r="C948" s="1" t="str">
        <f t="shared" si="57"/>
        <v>Sunday</v>
      </c>
      <c r="D948" s="1" t="str">
        <f t="shared" si="58"/>
        <v>July</v>
      </c>
      <c r="E948" s="1" t="str">
        <f t="shared" si="59"/>
        <v>2023</v>
      </c>
      <c r="F948" t="s">
        <v>9</v>
      </c>
      <c r="G948" s="5">
        <v>17.12415292687</v>
      </c>
      <c r="H948" s="10">
        <v>16</v>
      </c>
      <c r="I948" s="2">
        <v>298.62409804588498</v>
      </c>
      <c r="J948" t="s">
        <v>14</v>
      </c>
    </row>
    <row r="949" spans="1:10" x14ac:dyDescent="0.25">
      <c r="A949" t="s">
        <v>204</v>
      </c>
      <c r="B949" s="1">
        <f t="shared" si="56"/>
        <v>45116</v>
      </c>
      <c r="C949" s="1" t="str">
        <f t="shared" si="57"/>
        <v>Sunday</v>
      </c>
      <c r="D949" s="1" t="str">
        <f t="shared" si="58"/>
        <v>July</v>
      </c>
      <c r="E949" s="1" t="str">
        <f t="shared" si="59"/>
        <v>2023</v>
      </c>
      <c r="F949" t="s">
        <v>11</v>
      </c>
      <c r="G949" s="5">
        <v>678.47525117746</v>
      </c>
      <c r="H949" s="10">
        <v>11</v>
      </c>
      <c r="I949" s="2">
        <v>256.94132519060798</v>
      </c>
      <c r="J949" t="s">
        <v>10</v>
      </c>
    </row>
    <row r="950" spans="1:10" x14ac:dyDescent="0.25">
      <c r="A950" t="s">
        <v>204</v>
      </c>
      <c r="B950" s="1">
        <f t="shared" si="56"/>
        <v>45116</v>
      </c>
      <c r="C950" s="1" t="str">
        <f t="shared" si="57"/>
        <v>Sunday</v>
      </c>
      <c r="D950" s="1" t="str">
        <f t="shared" si="58"/>
        <v>July</v>
      </c>
      <c r="E950" s="1" t="str">
        <f t="shared" si="59"/>
        <v>2023</v>
      </c>
      <c r="F950" t="s">
        <v>13</v>
      </c>
      <c r="G950" s="5">
        <v>1455.843691259</v>
      </c>
      <c r="H950" s="10">
        <v>5</v>
      </c>
      <c r="I950" s="2">
        <v>580.12648391687901</v>
      </c>
      <c r="J950" t="s">
        <v>14</v>
      </c>
    </row>
    <row r="951" spans="1:10" x14ac:dyDescent="0.25">
      <c r="A951" t="s">
        <v>204</v>
      </c>
      <c r="B951" s="1">
        <f t="shared" si="56"/>
        <v>45116</v>
      </c>
      <c r="C951" s="1" t="str">
        <f t="shared" si="57"/>
        <v>Sunday</v>
      </c>
      <c r="D951" s="1" t="str">
        <f t="shared" si="58"/>
        <v>July</v>
      </c>
      <c r="E951" s="1" t="str">
        <f t="shared" si="59"/>
        <v>2023</v>
      </c>
      <c r="F951" t="s">
        <v>16</v>
      </c>
      <c r="G951" s="5">
        <v>145.34773978359999</v>
      </c>
      <c r="H951" s="10">
        <v>18</v>
      </c>
      <c r="I951" s="2">
        <v>414.368491992114</v>
      </c>
      <c r="J951" t="s">
        <v>8</v>
      </c>
    </row>
    <row r="952" spans="1:10" x14ac:dyDescent="0.25">
      <c r="A952" t="s">
        <v>205</v>
      </c>
      <c r="B952" s="1">
        <f t="shared" si="56"/>
        <v>45117</v>
      </c>
      <c r="C952" s="1" t="str">
        <f t="shared" si="57"/>
        <v>Monday</v>
      </c>
      <c r="D952" s="1" t="str">
        <f t="shared" si="58"/>
        <v>July</v>
      </c>
      <c r="E952" s="1" t="str">
        <f t="shared" si="59"/>
        <v>2023</v>
      </c>
      <c r="F952" t="s">
        <v>7</v>
      </c>
      <c r="G952" s="5">
        <v>121.55478564761999</v>
      </c>
      <c r="H952" s="10">
        <v>14</v>
      </c>
      <c r="I952" s="2">
        <v>140.42968048265001</v>
      </c>
      <c r="J952" t="s">
        <v>10</v>
      </c>
    </row>
    <row r="953" spans="1:10" x14ac:dyDescent="0.25">
      <c r="A953" t="s">
        <v>205</v>
      </c>
      <c r="B953" s="1">
        <f t="shared" si="56"/>
        <v>45117</v>
      </c>
      <c r="C953" s="1" t="str">
        <f t="shared" si="57"/>
        <v>Monday</v>
      </c>
      <c r="D953" s="1" t="str">
        <f t="shared" si="58"/>
        <v>July</v>
      </c>
      <c r="E953" s="1" t="str">
        <f t="shared" si="59"/>
        <v>2023</v>
      </c>
      <c r="F953" t="s">
        <v>9</v>
      </c>
      <c r="G953" s="5">
        <v>981.41417620000004</v>
      </c>
      <c r="H953" s="10">
        <v>18</v>
      </c>
      <c r="I953" s="2">
        <v>204.84998898808399</v>
      </c>
      <c r="J953" t="s">
        <v>12</v>
      </c>
    </row>
    <row r="954" spans="1:10" x14ac:dyDescent="0.25">
      <c r="A954" t="s">
        <v>205</v>
      </c>
      <c r="B954" s="1">
        <f t="shared" si="56"/>
        <v>45117</v>
      </c>
      <c r="C954" s="1" t="str">
        <f t="shared" si="57"/>
        <v>Monday</v>
      </c>
      <c r="D954" s="1" t="str">
        <f t="shared" si="58"/>
        <v>July</v>
      </c>
      <c r="E954" s="1" t="str">
        <f t="shared" si="59"/>
        <v>2023</v>
      </c>
      <c r="F954" t="s">
        <v>11</v>
      </c>
      <c r="G954" s="5">
        <v>1167.4875242672999</v>
      </c>
      <c r="H954" s="10">
        <v>12</v>
      </c>
      <c r="I954" s="2">
        <v>291.99777029602302</v>
      </c>
      <c r="J954" t="s">
        <v>8</v>
      </c>
    </row>
    <row r="955" spans="1:10" x14ac:dyDescent="0.25">
      <c r="A955" t="s">
        <v>205</v>
      </c>
      <c r="B955" s="1">
        <f t="shared" si="56"/>
        <v>45117</v>
      </c>
      <c r="C955" s="1" t="str">
        <f t="shared" si="57"/>
        <v>Monday</v>
      </c>
      <c r="D955" s="1" t="str">
        <f t="shared" si="58"/>
        <v>July</v>
      </c>
      <c r="E955" s="1" t="str">
        <f t="shared" si="59"/>
        <v>2023</v>
      </c>
      <c r="F955" t="s">
        <v>13</v>
      </c>
      <c r="G955" s="5">
        <v>951.88869982526501</v>
      </c>
      <c r="H955" s="10">
        <v>9</v>
      </c>
      <c r="I955" s="2">
        <v>115.121606292948</v>
      </c>
      <c r="J955" t="s">
        <v>12</v>
      </c>
    </row>
    <row r="956" spans="1:10" x14ac:dyDescent="0.25">
      <c r="A956" t="s">
        <v>205</v>
      </c>
      <c r="B956" s="1">
        <f t="shared" si="56"/>
        <v>45117</v>
      </c>
      <c r="C956" s="1" t="str">
        <f t="shared" si="57"/>
        <v>Monday</v>
      </c>
      <c r="D956" s="1" t="str">
        <f t="shared" si="58"/>
        <v>July</v>
      </c>
      <c r="E956" s="1" t="str">
        <f t="shared" si="59"/>
        <v>2023</v>
      </c>
      <c r="F956" t="s">
        <v>16</v>
      </c>
      <c r="G956" s="5">
        <v>1121.23496527</v>
      </c>
      <c r="H956" s="10">
        <v>4</v>
      </c>
      <c r="I956" s="2">
        <v>251.321841972697</v>
      </c>
      <c r="J956" t="s">
        <v>14</v>
      </c>
    </row>
    <row r="957" spans="1:10" x14ac:dyDescent="0.25">
      <c r="A957" t="s">
        <v>206</v>
      </c>
      <c r="B957" s="1">
        <f t="shared" si="56"/>
        <v>45118</v>
      </c>
      <c r="C957" s="1" t="str">
        <f t="shared" si="57"/>
        <v>Tuesday</v>
      </c>
      <c r="D957" s="1" t="str">
        <f t="shared" si="58"/>
        <v>July</v>
      </c>
      <c r="E957" s="1" t="str">
        <f t="shared" si="59"/>
        <v>2023</v>
      </c>
      <c r="F957" t="s">
        <v>7</v>
      </c>
      <c r="G957" s="5">
        <v>693.47766899999999</v>
      </c>
      <c r="H957" s="10">
        <v>12</v>
      </c>
      <c r="I957" s="2">
        <v>78.148916178761894</v>
      </c>
      <c r="J957" t="s">
        <v>12</v>
      </c>
    </row>
    <row r="958" spans="1:10" x14ac:dyDescent="0.25">
      <c r="A958" t="s">
        <v>206</v>
      </c>
      <c r="B958" s="1">
        <f t="shared" si="56"/>
        <v>45118</v>
      </c>
      <c r="C958" s="1" t="str">
        <f t="shared" si="57"/>
        <v>Tuesday</v>
      </c>
      <c r="D958" s="1" t="str">
        <f t="shared" si="58"/>
        <v>July</v>
      </c>
      <c r="E958" s="1" t="str">
        <f t="shared" si="59"/>
        <v>2023</v>
      </c>
      <c r="F958" t="s">
        <v>9</v>
      </c>
      <c r="G958" s="5">
        <v>1285.77951839467</v>
      </c>
      <c r="H958" s="10">
        <v>14</v>
      </c>
      <c r="I958" s="2">
        <v>151.95531655567601</v>
      </c>
      <c r="J958" t="s">
        <v>12</v>
      </c>
    </row>
    <row r="959" spans="1:10" x14ac:dyDescent="0.25">
      <c r="A959" t="s">
        <v>206</v>
      </c>
      <c r="B959" s="1">
        <f t="shared" si="56"/>
        <v>45118</v>
      </c>
      <c r="C959" s="1" t="str">
        <f t="shared" si="57"/>
        <v>Tuesday</v>
      </c>
      <c r="D959" s="1" t="str">
        <f t="shared" si="58"/>
        <v>July</v>
      </c>
      <c r="E959" s="1" t="str">
        <f t="shared" si="59"/>
        <v>2023</v>
      </c>
      <c r="F959" t="s">
        <v>11</v>
      </c>
      <c r="G959" s="5">
        <v>1142.1794119660001</v>
      </c>
      <c r="H959" s="10">
        <v>16</v>
      </c>
      <c r="I959" s="2">
        <v>122.76503026413999</v>
      </c>
      <c r="J959" t="s">
        <v>10</v>
      </c>
    </row>
    <row r="960" spans="1:10" x14ac:dyDescent="0.25">
      <c r="A960" t="s">
        <v>206</v>
      </c>
      <c r="B960" s="1">
        <f t="shared" si="56"/>
        <v>45118</v>
      </c>
      <c r="C960" s="1" t="str">
        <f t="shared" si="57"/>
        <v>Tuesday</v>
      </c>
      <c r="D960" s="1" t="str">
        <f t="shared" si="58"/>
        <v>July</v>
      </c>
      <c r="E960" s="1" t="str">
        <f t="shared" si="59"/>
        <v>2023</v>
      </c>
      <c r="F960" t="s">
        <v>13</v>
      </c>
      <c r="G960" s="5">
        <v>1253.9554275181999</v>
      </c>
      <c r="H960" s="10">
        <v>6</v>
      </c>
      <c r="I960" s="2">
        <v>327.00715302902199</v>
      </c>
      <c r="J960" t="s">
        <v>14</v>
      </c>
    </row>
    <row r="961" spans="1:10" x14ac:dyDescent="0.25">
      <c r="A961" t="s">
        <v>206</v>
      </c>
      <c r="B961" s="1">
        <f t="shared" si="56"/>
        <v>45118</v>
      </c>
      <c r="C961" s="1" t="str">
        <f t="shared" si="57"/>
        <v>Tuesday</v>
      </c>
      <c r="D961" s="1" t="str">
        <f t="shared" si="58"/>
        <v>July</v>
      </c>
      <c r="E961" s="1" t="str">
        <f t="shared" si="59"/>
        <v>2023</v>
      </c>
      <c r="F961" t="s">
        <v>16</v>
      </c>
      <c r="G961" s="5">
        <v>1149.9299315487999</v>
      </c>
      <c r="H961" s="10">
        <v>13</v>
      </c>
      <c r="I961" s="2">
        <v>168.01317226813001</v>
      </c>
      <c r="J961" t="s">
        <v>8</v>
      </c>
    </row>
    <row r="962" spans="1:10" x14ac:dyDescent="0.25">
      <c r="A962" t="s">
        <v>207</v>
      </c>
      <c r="B962" s="1">
        <f t="shared" si="56"/>
        <v>45119</v>
      </c>
      <c r="C962" s="1" t="str">
        <f t="shared" si="57"/>
        <v>Wednesday</v>
      </c>
      <c r="D962" s="1" t="str">
        <f t="shared" si="58"/>
        <v>July</v>
      </c>
      <c r="E962" s="1" t="str">
        <f t="shared" si="59"/>
        <v>2023</v>
      </c>
      <c r="F962" t="s">
        <v>7</v>
      </c>
      <c r="G962" s="5">
        <v>1133.3858117242</v>
      </c>
      <c r="H962" s="10">
        <v>11</v>
      </c>
      <c r="I962" s="2">
        <v>314.91357593374198</v>
      </c>
      <c r="J962" t="s">
        <v>14</v>
      </c>
    </row>
    <row r="963" spans="1:10" x14ac:dyDescent="0.25">
      <c r="A963" t="s">
        <v>207</v>
      </c>
      <c r="B963" s="1">
        <f t="shared" ref="B963:B1026" si="60">DATE(VALUE(RIGHT(A963,4)),VALUE(LEFT(A963,FIND("/",A963)-1)),VALUE(MID(A963,FIND("/",A963)+1,FIND("/",A963,FIND("/",A963)+1)-FIND("/",A963)-1)))</f>
        <v>45119</v>
      </c>
      <c r="C963" s="1" t="str">
        <f t="shared" ref="C963:C1026" si="61">TEXT(B963,"DDDD")</f>
        <v>Wednesday</v>
      </c>
      <c r="D963" s="1" t="str">
        <f t="shared" ref="D963:D1026" si="62">TEXT(B963,"MMMM")</f>
        <v>July</v>
      </c>
      <c r="E963" s="1" t="str">
        <f t="shared" ref="E963:E1026" si="63">TEXT(B963,"YYYY")</f>
        <v>2023</v>
      </c>
      <c r="F963" t="s">
        <v>9</v>
      </c>
      <c r="G963" s="5">
        <v>1312.272859183</v>
      </c>
      <c r="H963" s="10">
        <v>11</v>
      </c>
      <c r="I963" s="2">
        <v>151.69454433559099</v>
      </c>
      <c r="J963" t="s">
        <v>14</v>
      </c>
    </row>
    <row r="964" spans="1:10" x14ac:dyDescent="0.25">
      <c r="A964" t="s">
        <v>207</v>
      </c>
      <c r="B964" s="1">
        <f t="shared" si="60"/>
        <v>45119</v>
      </c>
      <c r="C964" s="1" t="str">
        <f t="shared" si="61"/>
        <v>Wednesday</v>
      </c>
      <c r="D964" s="1" t="str">
        <f t="shared" si="62"/>
        <v>July</v>
      </c>
      <c r="E964" s="1" t="str">
        <f t="shared" si="63"/>
        <v>2023</v>
      </c>
      <c r="F964" t="s">
        <v>11</v>
      </c>
      <c r="G964" s="5">
        <v>161.99393142950001</v>
      </c>
      <c r="H964" s="10">
        <v>16</v>
      </c>
      <c r="I964" s="2">
        <v>326.24871079904</v>
      </c>
      <c r="J964" t="s">
        <v>10</v>
      </c>
    </row>
    <row r="965" spans="1:10" x14ac:dyDescent="0.25">
      <c r="A965" t="s">
        <v>207</v>
      </c>
      <c r="B965" s="1">
        <f t="shared" si="60"/>
        <v>45119</v>
      </c>
      <c r="C965" s="1" t="str">
        <f t="shared" si="61"/>
        <v>Wednesday</v>
      </c>
      <c r="D965" s="1" t="str">
        <f t="shared" si="62"/>
        <v>July</v>
      </c>
      <c r="E965" s="1" t="str">
        <f t="shared" si="63"/>
        <v>2023</v>
      </c>
      <c r="F965" t="s">
        <v>13</v>
      </c>
      <c r="G965" s="5">
        <v>1221.5472497819001</v>
      </c>
      <c r="H965" s="10">
        <v>7</v>
      </c>
      <c r="I965" s="2">
        <v>305.96425001584998</v>
      </c>
      <c r="J965" t="s">
        <v>10</v>
      </c>
    </row>
    <row r="966" spans="1:10" x14ac:dyDescent="0.25">
      <c r="A966" t="s">
        <v>207</v>
      </c>
      <c r="B966" s="1">
        <f t="shared" si="60"/>
        <v>45119</v>
      </c>
      <c r="C966" s="1" t="str">
        <f t="shared" si="61"/>
        <v>Wednesday</v>
      </c>
      <c r="D966" s="1" t="str">
        <f t="shared" si="62"/>
        <v>July</v>
      </c>
      <c r="E966" s="1" t="str">
        <f t="shared" si="63"/>
        <v>2023</v>
      </c>
      <c r="F966" t="s">
        <v>16</v>
      </c>
      <c r="G966" s="5">
        <v>95.592615294309994</v>
      </c>
      <c r="H966" s="10">
        <v>9</v>
      </c>
      <c r="I966" s="2">
        <v>379.23645697841602</v>
      </c>
      <c r="J966" t="s">
        <v>14</v>
      </c>
    </row>
    <row r="967" spans="1:10" x14ac:dyDescent="0.25">
      <c r="A967" t="s">
        <v>208</v>
      </c>
      <c r="B967" s="1">
        <f t="shared" si="60"/>
        <v>45120</v>
      </c>
      <c r="C967" s="1" t="str">
        <f t="shared" si="61"/>
        <v>Thursday</v>
      </c>
      <c r="D967" s="1" t="str">
        <f t="shared" si="62"/>
        <v>July</v>
      </c>
      <c r="E967" s="1" t="str">
        <f t="shared" si="63"/>
        <v>2023</v>
      </c>
      <c r="F967" t="s">
        <v>7</v>
      </c>
      <c r="G967" s="5">
        <v>163.5636359554</v>
      </c>
      <c r="H967" s="10">
        <v>5</v>
      </c>
      <c r="I967" s="2">
        <v>392.67806254882697</v>
      </c>
      <c r="J967" t="s">
        <v>10</v>
      </c>
    </row>
    <row r="968" spans="1:10" x14ac:dyDescent="0.25">
      <c r="A968" t="s">
        <v>208</v>
      </c>
      <c r="B968" s="1">
        <f t="shared" si="60"/>
        <v>45120</v>
      </c>
      <c r="C968" s="1" t="str">
        <f t="shared" si="61"/>
        <v>Thursday</v>
      </c>
      <c r="D968" s="1" t="str">
        <f t="shared" si="62"/>
        <v>July</v>
      </c>
      <c r="E968" s="1" t="str">
        <f t="shared" si="63"/>
        <v>2023</v>
      </c>
      <c r="F968" t="s">
        <v>9</v>
      </c>
      <c r="G968" s="5">
        <v>1487.6295577476301</v>
      </c>
      <c r="H968" s="10">
        <v>15</v>
      </c>
      <c r="I968" s="2">
        <v>526.94275549373594</v>
      </c>
      <c r="J968" t="s">
        <v>12</v>
      </c>
    </row>
    <row r="969" spans="1:10" x14ac:dyDescent="0.25">
      <c r="A969" t="s">
        <v>208</v>
      </c>
      <c r="B969" s="1">
        <f t="shared" si="60"/>
        <v>45120</v>
      </c>
      <c r="C969" s="1" t="str">
        <f t="shared" si="61"/>
        <v>Thursday</v>
      </c>
      <c r="D969" s="1" t="str">
        <f t="shared" si="62"/>
        <v>July</v>
      </c>
      <c r="E969" s="1" t="str">
        <f t="shared" si="63"/>
        <v>2023</v>
      </c>
      <c r="F969" t="s">
        <v>11</v>
      </c>
      <c r="G969" s="5">
        <v>1422.2579372615101</v>
      </c>
      <c r="H969" s="10">
        <v>14</v>
      </c>
      <c r="I969" s="2">
        <v>285.281780777557</v>
      </c>
      <c r="J969" t="s">
        <v>10</v>
      </c>
    </row>
    <row r="970" spans="1:10" x14ac:dyDescent="0.25">
      <c r="A970" t="s">
        <v>208</v>
      </c>
      <c r="B970" s="1">
        <f t="shared" si="60"/>
        <v>45120</v>
      </c>
      <c r="C970" s="1" t="str">
        <f t="shared" si="61"/>
        <v>Thursday</v>
      </c>
      <c r="D970" s="1" t="str">
        <f t="shared" si="62"/>
        <v>July</v>
      </c>
      <c r="E970" s="1" t="str">
        <f t="shared" si="63"/>
        <v>2023</v>
      </c>
      <c r="F970" t="s">
        <v>13</v>
      </c>
      <c r="G970" s="5">
        <v>395.43823493374998</v>
      </c>
      <c r="H970" s="10">
        <v>17</v>
      </c>
      <c r="I970" s="2">
        <v>140.682766544462</v>
      </c>
      <c r="J970" t="s">
        <v>12</v>
      </c>
    </row>
    <row r="971" spans="1:10" x14ac:dyDescent="0.25">
      <c r="A971" t="s">
        <v>208</v>
      </c>
      <c r="B971" s="1">
        <f t="shared" si="60"/>
        <v>45120</v>
      </c>
      <c r="C971" s="1" t="str">
        <f t="shared" si="61"/>
        <v>Thursday</v>
      </c>
      <c r="D971" s="1" t="str">
        <f t="shared" si="62"/>
        <v>July</v>
      </c>
      <c r="E971" s="1" t="str">
        <f t="shared" si="63"/>
        <v>2023</v>
      </c>
      <c r="F971" t="s">
        <v>16</v>
      </c>
      <c r="G971" s="5">
        <v>624.57583825473102</v>
      </c>
      <c r="H971" s="10">
        <v>19</v>
      </c>
      <c r="I971" s="2">
        <v>165.86432135363799</v>
      </c>
      <c r="J971" t="s">
        <v>12</v>
      </c>
    </row>
    <row r="972" spans="1:10" x14ac:dyDescent="0.25">
      <c r="A972" t="s">
        <v>209</v>
      </c>
      <c r="B972" s="1">
        <f t="shared" si="60"/>
        <v>45121</v>
      </c>
      <c r="C972" s="1" t="str">
        <f t="shared" si="61"/>
        <v>Friday</v>
      </c>
      <c r="D972" s="1" t="str">
        <f t="shared" si="62"/>
        <v>July</v>
      </c>
      <c r="E972" s="1" t="str">
        <f t="shared" si="63"/>
        <v>2023</v>
      </c>
      <c r="F972" t="s">
        <v>7</v>
      </c>
      <c r="G972" s="5">
        <v>946.96775165265001</v>
      </c>
      <c r="H972" s="10">
        <v>6</v>
      </c>
      <c r="I972" s="2">
        <v>362.418797129822</v>
      </c>
      <c r="J972" t="s">
        <v>14</v>
      </c>
    </row>
    <row r="973" spans="1:10" x14ac:dyDescent="0.25">
      <c r="A973" t="s">
        <v>209</v>
      </c>
      <c r="B973" s="1">
        <f t="shared" si="60"/>
        <v>45121</v>
      </c>
      <c r="C973" s="1" t="str">
        <f t="shared" si="61"/>
        <v>Friday</v>
      </c>
      <c r="D973" s="1" t="str">
        <f t="shared" si="62"/>
        <v>July</v>
      </c>
      <c r="E973" s="1" t="str">
        <f t="shared" si="63"/>
        <v>2023</v>
      </c>
      <c r="F973" t="s">
        <v>9</v>
      </c>
      <c r="G973" s="5">
        <v>535.41451300000006</v>
      </c>
      <c r="H973" s="10">
        <v>15</v>
      </c>
      <c r="I973" s="2">
        <v>77.197493159999993</v>
      </c>
      <c r="J973" t="s">
        <v>10</v>
      </c>
    </row>
    <row r="974" spans="1:10" x14ac:dyDescent="0.25">
      <c r="A974" t="s">
        <v>209</v>
      </c>
      <c r="B974" s="1">
        <f t="shared" si="60"/>
        <v>45121</v>
      </c>
      <c r="C974" s="1" t="str">
        <f t="shared" si="61"/>
        <v>Friday</v>
      </c>
      <c r="D974" s="1" t="str">
        <f t="shared" si="62"/>
        <v>July</v>
      </c>
      <c r="E974" s="1" t="str">
        <f t="shared" si="63"/>
        <v>2023</v>
      </c>
      <c r="F974" t="s">
        <v>11</v>
      </c>
      <c r="G974" s="5">
        <v>876.58359917519999</v>
      </c>
      <c r="H974" s="10">
        <v>8</v>
      </c>
      <c r="I974" s="2">
        <v>145.43567969264501</v>
      </c>
      <c r="J974" t="s">
        <v>14</v>
      </c>
    </row>
    <row r="975" spans="1:10" x14ac:dyDescent="0.25">
      <c r="A975" t="s">
        <v>209</v>
      </c>
      <c r="B975" s="1">
        <f t="shared" si="60"/>
        <v>45121</v>
      </c>
      <c r="C975" s="1" t="str">
        <f t="shared" si="61"/>
        <v>Friday</v>
      </c>
      <c r="D975" s="1" t="str">
        <f t="shared" si="62"/>
        <v>July</v>
      </c>
      <c r="E975" s="1" t="str">
        <f t="shared" si="63"/>
        <v>2023</v>
      </c>
      <c r="F975" t="s">
        <v>13</v>
      </c>
      <c r="G975" s="5">
        <v>854.78519838939997</v>
      </c>
      <c r="H975" s="10">
        <v>10</v>
      </c>
      <c r="I975" s="2">
        <v>151.24475258455101</v>
      </c>
      <c r="J975" t="s">
        <v>8</v>
      </c>
    </row>
    <row r="976" spans="1:10" x14ac:dyDescent="0.25">
      <c r="A976" t="s">
        <v>209</v>
      </c>
      <c r="B976" s="1">
        <f t="shared" si="60"/>
        <v>45121</v>
      </c>
      <c r="C976" s="1" t="str">
        <f t="shared" si="61"/>
        <v>Friday</v>
      </c>
      <c r="D976" s="1" t="str">
        <f t="shared" si="62"/>
        <v>July</v>
      </c>
      <c r="E976" s="1" t="str">
        <f t="shared" si="63"/>
        <v>2023</v>
      </c>
      <c r="F976" t="s">
        <v>16</v>
      </c>
      <c r="G976" s="5">
        <v>593.71598366935496</v>
      </c>
      <c r="H976" s="10">
        <v>4</v>
      </c>
      <c r="I976" s="2">
        <v>96.865998792725904</v>
      </c>
      <c r="J976" t="s">
        <v>12</v>
      </c>
    </row>
    <row r="977" spans="1:10" x14ac:dyDescent="0.25">
      <c r="A977" t="s">
        <v>210</v>
      </c>
      <c r="B977" s="1">
        <f t="shared" si="60"/>
        <v>45122</v>
      </c>
      <c r="C977" s="1" t="str">
        <f t="shared" si="61"/>
        <v>Saturday</v>
      </c>
      <c r="D977" s="1" t="str">
        <f t="shared" si="62"/>
        <v>July</v>
      </c>
      <c r="E977" s="1" t="str">
        <f t="shared" si="63"/>
        <v>2023</v>
      </c>
      <c r="F977" t="s">
        <v>7</v>
      </c>
      <c r="G977" s="5">
        <v>699.66395188599995</v>
      </c>
      <c r="H977" s="10">
        <v>4</v>
      </c>
      <c r="I977" s="2">
        <v>100.719093366938</v>
      </c>
      <c r="J977" t="s">
        <v>14</v>
      </c>
    </row>
    <row r="978" spans="1:10" x14ac:dyDescent="0.25">
      <c r="A978" t="s">
        <v>210</v>
      </c>
      <c r="B978" s="1">
        <f t="shared" si="60"/>
        <v>45122</v>
      </c>
      <c r="C978" s="1" t="str">
        <f t="shared" si="61"/>
        <v>Saturday</v>
      </c>
      <c r="D978" s="1" t="str">
        <f t="shared" si="62"/>
        <v>July</v>
      </c>
      <c r="E978" s="1" t="str">
        <f t="shared" si="63"/>
        <v>2023</v>
      </c>
      <c r="F978" t="s">
        <v>9</v>
      </c>
      <c r="G978" s="5">
        <v>853.34547177168997</v>
      </c>
      <c r="H978" s="10">
        <v>11</v>
      </c>
      <c r="I978" s="2">
        <v>229.569025928862</v>
      </c>
      <c r="J978" t="s">
        <v>14</v>
      </c>
    </row>
    <row r="979" spans="1:10" x14ac:dyDescent="0.25">
      <c r="A979" t="s">
        <v>210</v>
      </c>
      <c r="B979" s="1">
        <f t="shared" si="60"/>
        <v>45122</v>
      </c>
      <c r="C979" s="1" t="str">
        <f t="shared" si="61"/>
        <v>Saturday</v>
      </c>
      <c r="D979" s="1" t="str">
        <f t="shared" si="62"/>
        <v>July</v>
      </c>
      <c r="E979" s="1" t="str">
        <f t="shared" si="63"/>
        <v>2023</v>
      </c>
      <c r="F979" t="s">
        <v>11</v>
      </c>
      <c r="G979" s="5">
        <v>916.47135200000002</v>
      </c>
      <c r="H979" s="10">
        <v>5</v>
      </c>
      <c r="I979" s="2">
        <v>223.20523362936501</v>
      </c>
      <c r="J979" t="s">
        <v>12</v>
      </c>
    </row>
    <row r="980" spans="1:10" x14ac:dyDescent="0.25">
      <c r="A980" t="s">
        <v>210</v>
      </c>
      <c r="B980" s="1">
        <f t="shared" si="60"/>
        <v>45122</v>
      </c>
      <c r="C980" s="1" t="str">
        <f t="shared" si="61"/>
        <v>Saturday</v>
      </c>
      <c r="D980" s="1" t="str">
        <f t="shared" si="62"/>
        <v>July</v>
      </c>
      <c r="E980" s="1" t="str">
        <f t="shared" si="63"/>
        <v>2023</v>
      </c>
      <c r="F980" t="s">
        <v>13</v>
      </c>
      <c r="G980" s="5">
        <v>65.298522913400006</v>
      </c>
      <c r="H980" s="10">
        <v>3</v>
      </c>
      <c r="I980" s="2">
        <v>65.642610260451093</v>
      </c>
      <c r="J980" t="s">
        <v>14</v>
      </c>
    </row>
    <row r="981" spans="1:10" x14ac:dyDescent="0.25">
      <c r="A981" t="s">
        <v>210</v>
      </c>
      <c r="B981" s="1">
        <f t="shared" si="60"/>
        <v>45122</v>
      </c>
      <c r="C981" s="1" t="str">
        <f t="shared" si="61"/>
        <v>Saturday</v>
      </c>
      <c r="D981" s="1" t="str">
        <f t="shared" si="62"/>
        <v>July</v>
      </c>
      <c r="E981" s="1" t="str">
        <f t="shared" si="63"/>
        <v>2023</v>
      </c>
      <c r="F981" t="s">
        <v>16</v>
      </c>
      <c r="G981" s="5">
        <v>15.4124945922</v>
      </c>
      <c r="H981" s="10">
        <v>17</v>
      </c>
      <c r="I981" s="2">
        <v>233.78248209920699</v>
      </c>
      <c r="J981" t="s">
        <v>10</v>
      </c>
    </row>
    <row r="982" spans="1:10" x14ac:dyDescent="0.25">
      <c r="A982" t="s">
        <v>211</v>
      </c>
      <c r="B982" s="1">
        <f t="shared" si="60"/>
        <v>45123</v>
      </c>
      <c r="C982" s="1" t="str">
        <f t="shared" si="61"/>
        <v>Sunday</v>
      </c>
      <c r="D982" s="1" t="str">
        <f t="shared" si="62"/>
        <v>July</v>
      </c>
      <c r="E982" s="1" t="str">
        <f t="shared" si="63"/>
        <v>2023</v>
      </c>
      <c r="F982" t="s">
        <v>7</v>
      </c>
      <c r="G982" s="5">
        <v>1274.617826684</v>
      </c>
      <c r="H982" s="10">
        <v>10</v>
      </c>
      <c r="I982" s="2">
        <v>235.26335667154299</v>
      </c>
      <c r="J982" t="s">
        <v>12</v>
      </c>
    </row>
    <row r="983" spans="1:10" x14ac:dyDescent="0.25">
      <c r="A983" t="s">
        <v>211</v>
      </c>
      <c r="B983" s="1">
        <f t="shared" si="60"/>
        <v>45123</v>
      </c>
      <c r="C983" s="1" t="str">
        <f t="shared" si="61"/>
        <v>Sunday</v>
      </c>
      <c r="D983" s="1" t="str">
        <f t="shared" si="62"/>
        <v>July</v>
      </c>
      <c r="E983" s="1" t="str">
        <f t="shared" si="63"/>
        <v>2023</v>
      </c>
      <c r="F983" t="s">
        <v>9</v>
      </c>
      <c r="G983" s="5">
        <v>835.13791762133906</v>
      </c>
      <c r="H983" s="10">
        <v>9</v>
      </c>
      <c r="I983" s="2">
        <v>131.298542996013</v>
      </c>
      <c r="J983" t="s">
        <v>8</v>
      </c>
    </row>
    <row r="984" spans="1:10" x14ac:dyDescent="0.25">
      <c r="A984" t="s">
        <v>211</v>
      </c>
      <c r="B984" s="1">
        <f t="shared" si="60"/>
        <v>45123</v>
      </c>
      <c r="C984" s="1" t="str">
        <f t="shared" si="61"/>
        <v>Sunday</v>
      </c>
      <c r="D984" s="1" t="str">
        <f t="shared" si="62"/>
        <v>July</v>
      </c>
      <c r="E984" s="1" t="str">
        <f t="shared" si="63"/>
        <v>2023</v>
      </c>
      <c r="F984" t="s">
        <v>11</v>
      </c>
      <c r="G984" s="5">
        <v>1549.7671134376001</v>
      </c>
      <c r="H984" s="10">
        <v>8</v>
      </c>
      <c r="I984" s="2">
        <v>463.78410270817</v>
      </c>
      <c r="J984" t="s">
        <v>12</v>
      </c>
    </row>
    <row r="985" spans="1:10" x14ac:dyDescent="0.25">
      <c r="A985" t="s">
        <v>211</v>
      </c>
      <c r="B985" s="1">
        <f t="shared" si="60"/>
        <v>45123</v>
      </c>
      <c r="C985" s="1" t="str">
        <f t="shared" si="61"/>
        <v>Sunday</v>
      </c>
      <c r="D985" s="1" t="str">
        <f t="shared" si="62"/>
        <v>July</v>
      </c>
      <c r="E985" s="1" t="str">
        <f t="shared" si="63"/>
        <v>2023</v>
      </c>
      <c r="F985" t="s">
        <v>13</v>
      </c>
      <c r="G985" s="5">
        <v>1244.245529</v>
      </c>
      <c r="H985" s="10">
        <v>15</v>
      </c>
      <c r="I985" s="2">
        <v>141.20747466193501</v>
      </c>
      <c r="J985" t="s">
        <v>10</v>
      </c>
    </row>
    <row r="986" spans="1:10" x14ac:dyDescent="0.25">
      <c r="A986" t="s">
        <v>211</v>
      </c>
      <c r="B986" s="1">
        <f t="shared" si="60"/>
        <v>45123</v>
      </c>
      <c r="C986" s="1" t="str">
        <f t="shared" si="61"/>
        <v>Sunday</v>
      </c>
      <c r="D986" s="1" t="str">
        <f t="shared" si="62"/>
        <v>July</v>
      </c>
      <c r="E986" s="1" t="str">
        <f t="shared" si="63"/>
        <v>2023</v>
      </c>
      <c r="F986" t="s">
        <v>16</v>
      </c>
      <c r="G986" s="5">
        <v>916.33498180000004</v>
      </c>
      <c r="H986" s="10">
        <v>18</v>
      </c>
      <c r="I986" s="2">
        <v>221.075167257582</v>
      </c>
      <c r="J986" t="s">
        <v>8</v>
      </c>
    </row>
    <row r="987" spans="1:10" x14ac:dyDescent="0.25">
      <c r="A987" t="s">
        <v>212</v>
      </c>
      <c r="B987" s="1">
        <f t="shared" si="60"/>
        <v>45124</v>
      </c>
      <c r="C987" s="1" t="str">
        <f t="shared" si="61"/>
        <v>Monday</v>
      </c>
      <c r="D987" s="1" t="str">
        <f t="shared" si="62"/>
        <v>July</v>
      </c>
      <c r="E987" s="1" t="str">
        <f t="shared" si="63"/>
        <v>2023</v>
      </c>
      <c r="F987" t="s">
        <v>7</v>
      </c>
      <c r="G987" s="5">
        <v>1253.5473913552901</v>
      </c>
      <c r="H987" s="10">
        <v>12</v>
      </c>
      <c r="I987" s="2">
        <v>307.06177236342398</v>
      </c>
      <c r="J987" t="s">
        <v>10</v>
      </c>
    </row>
    <row r="988" spans="1:10" x14ac:dyDescent="0.25">
      <c r="A988" t="s">
        <v>212</v>
      </c>
      <c r="B988" s="1">
        <f t="shared" si="60"/>
        <v>45124</v>
      </c>
      <c r="C988" s="1" t="str">
        <f t="shared" si="61"/>
        <v>Monday</v>
      </c>
      <c r="D988" s="1" t="str">
        <f t="shared" si="62"/>
        <v>July</v>
      </c>
      <c r="E988" s="1" t="str">
        <f t="shared" si="63"/>
        <v>2023</v>
      </c>
      <c r="F988" t="s">
        <v>9</v>
      </c>
      <c r="G988" s="5">
        <v>759.56238781809998</v>
      </c>
      <c r="H988" s="10">
        <v>16</v>
      </c>
      <c r="I988" s="2">
        <v>168.65430902834399</v>
      </c>
      <c r="J988" t="s">
        <v>10</v>
      </c>
    </row>
    <row r="989" spans="1:10" x14ac:dyDescent="0.25">
      <c r="A989" t="s">
        <v>212</v>
      </c>
      <c r="B989" s="1">
        <f t="shared" si="60"/>
        <v>45124</v>
      </c>
      <c r="C989" s="1" t="str">
        <f t="shared" si="61"/>
        <v>Monday</v>
      </c>
      <c r="D989" s="1" t="str">
        <f t="shared" si="62"/>
        <v>July</v>
      </c>
      <c r="E989" s="1" t="str">
        <f t="shared" si="63"/>
        <v>2023</v>
      </c>
      <c r="F989" t="s">
        <v>11</v>
      </c>
      <c r="G989" s="5">
        <v>199.24327757792</v>
      </c>
      <c r="H989" s="10">
        <v>7</v>
      </c>
      <c r="I989" s="2">
        <v>259.63793515013299</v>
      </c>
      <c r="J989" t="s">
        <v>8</v>
      </c>
    </row>
    <row r="990" spans="1:10" x14ac:dyDescent="0.25">
      <c r="A990" t="s">
        <v>212</v>
      </c>
      <c r="B990" s="1">
        <f t="shared" si="60"/>
        <v>45124</v>
      </c>
      <c r="C990" s="1" t="str">
        <f t="shared" si="61"/>
        <v>Monday</v>
      </c>
      <c r="D990" s="1" t="str">
        <f t="shared" si="62"/>
        <v>July</v>
      </c>
      <c r="E990" s="1" t="str">
        <f t="shared" si="63"/>
        <v>2023</v>
      </c>
      <c r="F990" t="s">
        <v>13</v>
      </c>
      <c r="G990" s="5">
        <v>1277.6194272391001</v>
      </c>
      <c r="H990" s="10">
        <v>13</v>
      </c>
      <c r="I990" s="2">
        <v>492.43726068786299</v>
      </c>
      <c r="J990" t="s">
        <v>8</v>
      </c>
    </row>
    <row r="991" spans="1:10" x14ac:dyDescent="0.25">
      <c r="A991" t="s">
        <v>212</v>
      </c>
      <c r="B991" s="1">
        <f t="shared" si="60"/>
        <v>45124</v>
      </c>
      <c r="C991" s="1" t="str">
        <f t="shared" si="61"/>
        <v>Monday</v>
      </c>
      <c r="D991" s="1" t="str">
        <f t="shared" si="62"/>
        <v>July</v>
      </c>
      <c r="E991" s="1" t="str">
        <f t="shared" si="63"/>
        <v>2023</v>
      </c>
      <c r="F991" t="s">
        <v>16</v>
      </c>
      <c r="G991" s="5">
        <v>19.534474484699999</v>
      </c>
      <c r="H991" s="10">
        <v>6</v>
      </c>
      <c r="I991" s="2">
        <v>272.89553622484601</v>
      </c>
      <c r="J991" t="s">
        <v>8</v>
      </c>
    </row>
    <row r="992" spans="1:10" x14ac:dyDescent="0.25">
      <c r="A992" t="s">
        <v>213</v>
      </c>
      <c r="B992" s="1">
        <f t="shared" si="60"/>
        <v>45125</v>
      </c>
      <c r="C992" s="1" t="str">
        <f t="shared" si="61"/>
        <v>Tuesday</v>
      </c>
      <c r="D992" s="1" t="str">
        <f t="shared" si="62"/>
        <v>July</v>
      </c>
      <c r="E992" s="1" t="str">
        <f t="shared" si="63"/>
        <v>2023</v>
      </c>
      <c r="F992" t="s">
        <v>7</v>
      </c>
      <c r="G992" s="5">
        <v>1329.2874894583399</v>
      </c>
      <c r="H992" s="10">
        <v>4</v>
      </c>
      <c r="I992" s="2">
        <v>519.84526049413705</v>
      </c>
      <c r="J992" t="s">
        <v>14</v>
      </c>
    </row>
    <row r="993" spans="1:10" x14ac:dyDescent="0.25">
      <c r="A993" t="s">
        <v>213</v>
      </c>
      <c r="B993" s="1">
        <f t="shared" si="60"/>
        <v>45125</v>
      </c>
      <c r="C993" s="1" t="str">
        <f t="shared" si="61"/>
        <v>Tuesday</v>
      </c>
      <c r="D993" s="1" t="str">
        <f t="shared" si="62"/>
        <v>July</v>
      </c>
      <c r="E993" s="1" t="str">
        <f t="shared" si="63"/>
        <v>2023</v>
      </c>
      <c r="F993" t="s">
        <v>9</v>
      </c>
      <c r="G993" s="5">
        <v>111.4917625672</v>
      </c>
      <c r="H993" s="10">
        <v>13</v>
      </c>
      <c r="I993" s="2">
        <v>301.92999750000001</v>
      </c>
      <c r="J993" t="s">
        <v>12</v>
      </c>
    </row>
    <row r="994" spans="1:10" x14ac:dyDescent="0.25">
      <c r="A994" t="s">
        <v>213</v>
      </c>
      <c r="B994" s="1">
        <f t="shared" si="60"/>
        <v>45125</v>
      </c>
      <c r="C994" s="1" t="str">
        <f t="shared" si="61"/>
        <v>Tuesday</v>
      </c>
      <c r="D994" s="1" t="str">
        <f t="shared" si="62"/>
        <v>July</v>
      </c>
      <c r="E994" s="1" t="str">
        <f t="shared" si="63"/>
        <v>2023</v>
      </c>
      <c r="F994" t="s">
        <v>11</v>
      </c>
      <c r="G994" s="5">
        <v>169.77847246834</v>
      </c>
      <c r="H994" s="10">
        <v>3</v>
      </c>
      <c r="I994" s="2">
        <v>165.656623504104</v>
      </c>
      <c r="J994" t="s">
        <v>12</v>
      </c>
    </row>
    <row r="995" spans="1:10" x14ac:dyDescent="0.25">
      <c r="A995" t="s">
        <v>213</v>
      </c>
      <c r="B995" s="1">
        <f t="shared" si="60"/>
        <v>45125</v>
      </c>
      <c r="C995" s="1" t="str">
        <f t="shared" si="61"/>
        <v>Tuesday</v>
      </c>
      <c r="D995" s="1" t="str">
        <f t="shared" si="62"/>
        <v>July</v>
      </c>
      <c r="E995" s="1" t="str">
        <f t="shared" si="63"/>
        <v>2023</v>
      </c>
      <c r="F995" t="s">
        <v>13</v>
      </c>
      <c r="G995" s="5">
        <v>934.74851247181005</v>
      </c>
      <c r="H995" s="10">
        <v>16</v>
      </c>
      <c r="I995" s="2">
        <v>173.46916125363001</v>
      </c>
      <c r="J995" t="s">
        <v>8</v>
      </c>
    </row>
    <row r="996" spans="1:10" x14ac:dyDescent="0.25">
      <c r="A996" t="s">
        <v>213</v>
      </c>
      <c r="B996" s="1">
        <f t="shared" si="60"/>
        <v>45125</v>
      </c>
      <c r="C996" s="1" t="str">
        <f t="shared" si="61"/>
        <v>Tuesday</v>
      </c>
      <c r="D996" s="1" t="str">
        <f t="shared" si="62"/>
        <v>July</v>
      </c>
      <c r="E996" s="1" t="str">
        <f t="shared" si="63"/>
        <v>2023</v>
      </c>
      <c r="F996" t="s">
        <v>16</v>
      </c>
      <c r="G996" s="5">
        <v>1468.28493972972</v>
      </c>
      <c r="H996" s="10">
        <v>6</v>
      </c>
      <c r="I996" s="2">
        <v>311.81155745990998</v>
      </c>
      <c r="J996" t="s">
        <v>10</v>
      </c>
    </row>
    <row r="997" spans="1:10" x14ac:dyDescent="0.25">
      <c r="A997" t="s">
        <v>214</v>
      </c>
      <c r="B997" s="1">
        <f t="shared" si="60"/>
        <v>45126</v>
      </c>
      <c r="C997" s="1" t="str">
        <f t="shared" si="61"/>
        <v>Wednesday</v>
      </c>
      <c r="D997" s="1" t="str">
        <f t="shared" si="62"/>
        <v>July</v>
      </c>
      <c r="E997" s="1" t="str">
        <f t="shared" si="63"/>
        <v>2023</v>
      </c>
      <c r="F997" t="s">
        <v>7</v>
      </c>
      <c r="G997" s="5">
        <v>161.59814976999999</v>
      </c>
      <c r="H997" s="10">
        <v>10</v>
      </c>
      <c r="I997" s="2">
        <v>338.55689288704502</v>
      </c>
      <c r="J997" t="s">
        <v>10</v>
      </c>
    </row>
    <row r="998" spans="1:10" x14ac:dyDescent="0.25">
      <c r="A998" t="s">
        <v>214</v>
      </c>
      <c r="B998" s="1">
        <f t="shared" si="60"/>
        <v>45126</v>
      </c>
      <c r="C998" s="1" t="str">
        <f t="shared" si="61"/>
        <v>Wednesday</v>
      </c>
      <c r="D998" s="1" t="str">
        <f t="shared" si="62"/>
        <v>July</v>
      </c>
      <c r="E998" s="1" t="str">
        <f t="shared" si="63"/>
        <v>2023</v>
      </c>
      <c r="F998" t="s">
        <v>9</v>
      </c>
      <c r="G998" s="5">
        <v>1371.4713821939199</v>
      </c>
      <c r="H998" s="10">
        <v>5</v>
      </c>
      <c r="I998" s="2">
        <v>209.20005069999999</v>
      </c>
      <c r="J998" t="s">
        <v>8</v>
      </c>
    </row>
    <row r="999" spans="1:10" x14ac:dyDescent="0.25">
      <c r="A999" t="s">
        <v>214</v>
      </c>
      <c r="B999" s="1">
        <f t="shared" si="60"/>
        <v>45126</v>
      </c>
      <c r="C999" s="1" t="str">
        <f t="shared" si="61"/>
        <v>Wednesday</v>
      </c>
      <c r="D999" s="1" t="str">
        <f t="shared" si="62"/>
        <v>July</v>
      </c>
      <c r="E999" s="1" t="str">
        <f t="shared" si="63"/>
        <v>2023</v>
      </c>
      <c r="F999" t="s">
        <v>11</v>
      </c>
      <c r="G999" s="5">
        <v>736.92221646834003</v>
      </c>
      <c r="H999" s="10">
        <v>9</v>
      </c>
      <c r="I999" s="2">
        <v>129.54284854120701</v>
      </c>
      <c r="J999" t="s">
        <v>8</v>
      </c>
    </row>
    <row r="1000" spans="1:10" x14ac:dyDescent="0.25">
      <c r="A1000" t="s">
        <v>214</v>
      </c>
      <c r="B1000" s="1">
        <f t="shared" si="60"/>
        <v>45126</v>
      </c>
      <c r="C1000" s="1" t="str">
        <f t="shared" si="61"/>
        <v>Wednesday</v>
      </c>
      <c r="D1000" s="1" t="str">
        <f t="shared" si="62"/>
        <v>July</v>
      </c>
      <c r="E1000" s="1" t="str">
        <f t="shared" si="63"/>
        <v>2023</v>
      </c>
      <c r="F1000" t="s">
        <v>13</v>
      </c>
      <c r="G1000" s="5">
        <v>891.85626381420002</v>
      </c>
      <c r="H1000" s="10">
        <v>4</v>
      </c>
      <c r="I1000" s="2">
        <v>89.3553719051597</v>
      </c>
      <c r="J1000" t="s">
        <v>10</v>
      </c>
    </row>
    <row r="1001" spans="1:10" x14ac:dyDescent="0.25">
      <c r="A1001" t="s">
        <v>214</v>
      </c>
      <c r="B1001" s="1">
        <f t="shared" si="60"/>
        <v>45126</v>
      </c>
      <c r="C1001" s="1" t="str">
        <f t="shared" si="61"/>
        <v>Wednesday</v>
      </c>
      <c r="D1001" s="1" t="str">
        <f t="shared" si="62"/>
        <v>July</v>
      </c>
      <c r="E1001" s="1" t="str">
        <f t="shared" si="63"/>
        <v>2023</v>
      </c>
      <c r="F1001" t="s">
        <v>16</v>
      </c>
      <c r="G1001" s="5">
        <v>1161.67575554312</v>
      </c>
      <c r="H1001" s="10">
        <v>10</v>
      </c>
      <c r="I1001" s="2">
        <v>392.389029096596</v>
      </c>
      <c r="J1001" t="s">
        <v>14</v>
      </c>
    </row>
    <row r="1002" spans="1:10" x14ac:dyDescent="0.25">
      <c r="A1002" t="s">
        <v>215</v>
      </c>
      <c r="B1002" s="1">
        <f t="shared" si="60"/>
        <v>45127</v>
      </c>
      <c r="C1002" s="1" t="str">
        <f t="shared" si="61"/>
        <v>Thursday</v>
      </c>
      <c r="D1002" s="1" t="str">
        <f t="shared" si="62"/>
        <v>July</v>
      </c>
      <c r="E1002" s="1" t="str">
        <f t="shared" si="63"/>
        <v>2023</v>
      </c>
      <c r="F1002" t="s">
        <v>7</v>
      </c>
      <c r="G1002" s="5">
        <v>64.234258667099994</v>
      </c>
      <c r="H1002" s="10">
        <v>4</v>
      </c>
      <c r="I1002" s="2">
        <v>143.496548388126</v>
      </c>
      <c r="J1002" t="s">
        <v>10</v>
      </c>
    </row>
    <row r="1003" spans="1:10" x14ac:dyDescent="0.25">
      <c r="A1003" t="s">
        <v>215</v>
      </c>
      <c r="B1003" s="1">
        <f t="shared" si="60"/>
        <v>45127</v>
      </c>
      <c r="C1003" s="1" t="str">
        <f t="shared" si="61"/>
        <v>Thursday</v>
      </c>
      <c r="D1003" s="1" t="str">
        <f t="shared" si="62"/>
        <v>July</v>
      </c>
      <c r="E1003" s="1" t="str">
        <f t="shared" si="63"/>
        <v>2023</v>
      </c>
      <c r="F1003" t="s">
        <v>9</v>
      </c>
      <c r="G1003" s="5">
        <v>817.61546581444395</v>
      </c>
      <c r="H1003" s="10">
        <v>13</v>
      </c>
      <c r="I1003" s="2">
        <v>104.763488040871</v>
      </c>
      <c r="J1003" t="s">
        <v>12</v>
      </c>
    </row>
    <row r="1004" spans="1:10" x14ac:dyDescent="0.25">
      <c r="A1004" t="s">
        <v>215</v>
      </c>
      <c r="B1004" s="1">
        <f t="shared" si="60"/>
        <v>45127</v>
      </c>
      <c r="C1004" s="1" t="str">
        <f t="shared" si="61"/>
        <v>Thursday</v>
      </c>
      <c r="D1004" s="1" t="str">
        <f t="shared" si="62"/>
        <v>July</v>
      </c>
      <c r="E1004" s="1" t="str">
        <f t="shared" si="63"/>
        <v>2023</v>
      </c>
      <c r="F1004" t="s">
        <v>11</v>
      </c>
      <c r="G1004" s="5">
        <v>142.6276736861</v>
      </c>
      <c r="H1004" s="10">
        <v>15</v>
      </c>
      <c r="I1004" s="2">
        <v>388.41046842523099</v>
      </c>
      <c r="J1004" t="s">
        <v>10</v>
      </c>
    </row>
    <row r="1005" spans="1:10" x14ac:dyDescent="0.25">
      <c r="A1005" t="s">
        <v>215</v>
      </c>
      <c r="B1005" s="1">
        <f t="shared" si="60"/>
        <v>45127</v>
      </c>
      <c r="C1005" s="1" t="str">
        <f t="shared" si="61"/>
        <v>Thursday</v>
      </c>
      <c r="D1005" s="1" t="str">
        <f t="shared" si="62"/>
        <v>July</v>
      </c>
      <c r="E1005" s="1" t="str">
        <f t="shared" si="63"/>
        <v>2023</v>
      </c>
      <c r="F1005" t="s">
        <v>13</v>
      </c>
      <c r="G1005" s="5">
        <v>1172.413784996</v>
      </c>
      <c r="H1005" s="10">
        <v>5</v>
      </c>
      <c r="I1005" s="2">
        <v>281.24931921563501</v>
      </c>
      <c r="J1005" t="s">
        <v>8</v>
      </c>
    </row>
    <row r="1006" spans="1:10" x14ac:dyDescent="0.25">
      <c r="A1006" t="s">
        <v>215</v>
      </c>
      <c r="B1006" s="1">
        <f t="shared" si="60"/>
        <v>45127</v>
      </c>
      <c r="C1006" s="1" t="str">
        <f t="shared" si="61"/>
        <v>Thursday</v>
      </c>
      <c r="D1006" s="1" t="str">
        <f t="shared" si="62"/>
        <v>July</v>
      </c>
      <c r="E1006" s="1" t="str">
        <f t="shared" si="63"/>
        <v>2023</v>
      </c>
      <c r="F1006" t="s">
        <v>16</v>
      </c>
      <c r="G1006" s="5">
        <v>1259.3589725622301</v>
      </c>
      <c r="H1006" s="10">
        <v>18</v>
      </c>
      <c r="I1006" s="2">
        <v>319.72183638676802</v>
      </c>
      <c r="J1006" t="s">
        <v>12</v>
      </c>
    </row>
    <row r="1007" spans="1:10" x14ac:dyDescent="0.25">
      <c r="A1007" t="s">
        <v>216</v>
      </c>
      <c r="B1007" s="1">
        <f t="shared" si="60"/>
        <v>45128</v>
      </c>
      <c r="C1007" s="1" t="str">
        <f t="shared" si="61"/>
        <v>Friday</v>
      </c>
      <c r="D1007" s="1" t="str">
        <f t="shared" si="62"/>
        <v>July</v>
      </c>
      <c r="E1007" s="1" t="str">
        <f t="shared" si="63"/>
        <v>2023</v>
      </c>
      <c r="F1007" t="s">
        <v>7</v>
      </c>
      <c r="G1007" s="5">
        <v>1455.6659744357901</v>
      </c>
      <c r="H1007" s="10">
        <v>7</v>
      </c>
      <c r="I1007" s="2">
        <v>553.95605350000005</v>
      </c>
      <c r="J1007" t="s">
        <v>12</v>
      </c>
    </row>
    <row r="1008" spans="1:10" x14ac:dyDescent="0.25">
      <c r="A1008" t="s">
        <v>216</v>
      </c>
      <c r="B1008" s="1">
        <f t="shared" si="60"/>
        <v>45128</v>
      </c>
      <c r="C1008" s="1" t="str">
        <f t="shared" si="61"/>
        <v>Friday</v>
      </c>
      <c r="D1008" s="1" t="str">
        <f t="shared" si="62"/>
        <v>July</v>
      </c>
      <c r="E1008" s="1" t="str">
        <f t="shared" si="63"/>
        <v>2023</v>
      </c>
      <c r="F1008" t="s">
        <v>9</v>
      </c>
      <c r="G1008" s="5">
        <v>1351.4986935341601</v>
      </c>
      <c r="H1008" s="10">
        <v>13</v>
      </c>
      <c r="I1008" s="2">
        <v>408.58494385736401</v>
      </c>
      <c r="J1008" t="s">
        <v>12</v>
      </c>
    </row>
    <row r="1009" spans="1:10" x14ac:dyDescent="0.25">
      <c r="A1009" t="s">
        <v>216</v>
      </c>
      <c r="B1009" s="1">
        <f t="shared" si="60"/>
        <v>45128</v>
      </c>
      <c r="C1009" s="1" t="str">
        <f t="shared" si="61"/>
        <v>Friday</v>
      </c>
      <c r="D1009" s="1" t="str">
        <f t="shared" si="62"/>
        <v>July</v>
      </c>
      <c r="E1009" s="1" t="str">
        <f t="shared" si="63"/>
        <v>2023</v>
      </c>
      <c r="F1009" t="s">
        <v>11</v>
      </c>
      <c r="G1009" s="5">
        <v>89.399214962580004</v>
      </c>
      <c r="H1009" s="10">
        <v>16</v>
      </c>
      <c r="I1009" s="2">
        <v>179.97057601965199</v>
      </c>
      <c r="J1009" t="s">
        <v>14</v>
      </c>
    </row>
    <row r="1010" spans="1:10" x14ac:dyDescent="0.25">
      <c r="A1010" t="s">
        <v>216</v>
      </c>
      <c r="B1010" s="1">
        <f t="shared" si="60"/>
        <v>45128</v>
      </c>
      <c r="C1010" s="1" t="str">
        <f t="shared" si="61"/>
        <v>Friday</v>
      </c>
      <c r="D1010" s="1" t="str">
        <f t="shared" si="62"/>
        <v>July</v>
      </c>
      <c r="E1010" s="1" t="str">
        <f t="shared" si="63"/>
        <v>2023</v>
      </c>
      <c r="F1010" t="s">
        <v>13</v>
      </c>
      <c r="G1010" s="5">
        <v>121.39751373199999</v>
      </c>
      <c r="H1010" s="10">
        <v>10</v>
      </c>
      <c r="I1010" s="2">
        <v>401.93164191646002</v>
      </c>
      <c r="J1010" t="s">
        <v>8</v>
      </c>
    </row>
    <row r="1011" spans="1:10" x14ac:dyDescent="0.25">
      <c r="A1011" t="s">
        <v>216</v>
      </c>
      <c r="B1011" s="1">
        <f t="shared" si="60"/>
        <v>45128</v>
      </c>
      <c r="C1011" s="1" t="str">
        <f t="shared" si="61"/>
        <v>Friday</v>
      </c>
      <c r="D1011" s="1" t="str">
        <f t="shared" si="62"/>
        <v>July</v>
      </c>
      <c r="E1011" s="1" t="str">
        <f t="shared" si="63"/>
        <v>2023</v>
      </c>
      <c r="F1011" t="s">
        <v>16</v>
      </c>
      <c r="G1011" s="5">
        <v>661.87764445912001</v>
      </c>
      <c r="H1011" s="10">
        <v>1</v>
      </c>
      <c r="I1011" s="2">
        <v>235.55623003700799</v>
      </c>
      <c r="J1011" t="s">
        <v>8</v>
      </c>
    </row>
    <row r="1012" spans="1:10" x14ac:dyDescent="0.25">
      <c r="A1012" t="s">
        <v>217</v>
      </c>
      <c r="B1012" s="1">
        <f t="shared" si="60"/>
        <v>45129</v>
      </c>
      <c r="C1012" s="1" t="str">
        <f t="shared" si="61"/>
        <v>Saturday</v>
      </c>
      <c r="D1012" s="1" t="str">
        <f t="shared" si="62"/>
        <v>July</v>
      </c>
      <c r="E1012" s="1" t="str">
        <f t="shared" si="63"/>
        <v>2023</v>
      </c>
      <c r="F1012" t="s">
        <v>7</v>
      </c>
      <c r="G1012" s="5">
        <v>913.76574417989298</v>
      </c>
      <c r="H1012" s="10">
        <v>3</v>
      </c>
      <c r="I1012" s="2">
        <v>297.99748655150501</v>
      </c>
      <c r="J1012" t="s">
        <v>14</v>
      </c>
    </row>
    <row r="1013" spans="1:10" x14ac:dyDescent="0.25">
      <c r="A1013" t="s">
        <v>217</v>
      </c>
      <c r="B1013" s="1">
        <f t="shared" si="60"/>
        <v>45129</v>
      </c>
      <c r="C1013" s="1" t="str">
        <f t="shared" si="61"/>
        <v>Saturday</v>
      </c>
      <c r="D1013" s="1" t="str">
        <f t="shared" si="62"/>
        <v>July</v>
      </c>
      <c r="E1013" s="1" t="str">
        <f t="shared" si="63"/>
        <v>2023</v>
      </c>
      <c r="F1013" t="s">
        <v>9</v>
      </c>
      <c r="G1013" s="5">
        <v>186.19867132900001</v>
      </c>
      <c r="H1013" s="10">
        <v>9</v>
      </c>
      <c r="I1013" s="2">
        <v>218.11099344094001</v>
      </c>
      <c r="J1013" t="s">
        <v>14</v>
      </c>
    </row>
    <row r="1014" spans="1:10" x14ac:dyDescent="0.25">
      <c r="A1014" t="s">
        <v>217</v>
      </c>
      <c r="B1014" s="1">
        <f t="shared" si="60"/>
        <v>45129</v>
      </c>
      <c r="C1014" s="1" t="str">
        <f t="shared" si="61"/>
        <v>Saturday</v>
      </c>
      <c r="D1014" s="1" t="str">
        <f t="shared" si="62"/>
        <v>July</v>
      </c>
      <c r="E1014" s="1" t="str">
        <f t="shared" si="63"/>
        <v>2023</v>
      </c>
      <c r="F1014" t="s">
        <v>11</v>
      </c>
      <c r="G1014" s="5">
        <v>829.51215283720001</v>
      </c>
      <c r="H1014" s="10">
        <v>8</v>
      </c>
      <c r="I1014" s="2">
        <v>152.80631101225001</v>
      </c>
      <c r="J1014" t="s">
        <v>12</v>
      </c>
    </row>
    <row r="1015" spans="1:10" x14ac:dyDescent="0.25">
      <c r="A1015" t="s">
        <v>217</v>
      </c>
      <c r="B1015" s="1">
        <f t="shared" si="60"/>
        <v>45129</v>
      </c>
      <c r="C1015" s="1" t="str">
        <f t="shared" si="61"/>
        <v>Saturday</v>
      </c>
      <c r="D1015" s="1" t="str">
        <f t="shared" si="62"/>
        <v>July</v>
      </c>
      <c r="E1015" s="1" t="str">
        <f t="shared" si="63"/>
        <v>2023</v>
      </c>
      <c r="F1015" t="s">
        <v>13</v>
      </c>
      <c r="G1015" s="5">
        <v>198.852626719</v>
      </c>
      <c r="H1015" s="10">
        <v>12</v>
      </c>
      <c r="I1015" s="2">
        <v>235.07254891640099</v>
      </c>
      <c r="J1015" t="s">
        <v>14</v>
      </c>
    </row>
    <row r="1016" spans="1:10" x14ac:dyDescent="0.25">
      <c r="A1016" t="s">
        <v>217</v>
      </c>
      <c r="B1016" s="1">
        <f t="shared" si="60"/>
        <v>45129</v>
      </c>
      <c r="C1016" s="1" t="str">
        <f t="shared" si="61"/>
        <v>Saturday</v>
      </c>
      <c r="D1016" s="1" t="str">
        <f t="shared" si="62"/>
        <v>July</v>
      </c>
      <c r="E1016" s="1" t="str">
        <f t="shared" si="63"/>
        <v>2023</v>
      </c>
      <c r="F1016" t="s">
        <v>16</v>
      </c>
      <c r="G1016" s="5">
        <v>1573.7228229753</v>
      </c>
      <c r="H1016" s="10">
        <v>1</v>
      </c>
      <c r="I1016" s="2">
        <v>269.23249657618902</v>
      </c>
      <c r="J1016" t="s">
        <v>8</v>
      </c>
    </row>
    <row r="1017" spans="1:10" x14ac:dyDescent="0.25">
      <c r="A1017" t="s">
        <v>218</v>
      </c>
      <c r="B1017" s="1">
        <f t="shared" si="60"/>
        <v>45130</v>
      </c>
      <c r="C1017" s="1" t="str">
        <f t="shared" si="61"/>
        <v>Sunday</v>
      </c>
      <c r="D1017" s="1" t="str">
        <f t="shared" si="62"/>
        <v>July</v>
      </c>
      <c r="E1017" s="1" t="str">
        <f t="shared" si="63"/>
        <v>2023</v>
      </c>
      <c r="F1017" t="s">
        <v>7</v>
      </c>
      <c r="G1017" s="5">
        <v>1259.2462644126001</v>
      </c>
      <c r="H1017" s="10">
        <v>8</v>
      </c>
      <c r="I1017" s="2">
        <v>476.93123057487497</v>
      </c>
      <c r="J1017" t="s">
        <v>12</v>
      </c>
    </row>
    <row r="1018" spans="1:10" x14ac:dyDescent="0.25">
      <c r="A1018" t="s">
        <v>218</v>
      </c>
      <c r="B1018" s="1">
        <f t="shared" si="60"/>
        <v>45130</v>
      </c>
      <c r="C1018" s="1" t="str">
        <f t="shared" si="61"/>
        <v>Sunday</v>
      </c>
      <c r="D1018" s="1" t="str">
        <f t="shared" si="62"/>
        <v>July</v>
      </c>
      <c r="E1018" s="1" t="str">
        <f t="shared" si="63"/>
        <v>2023</v>
      </c>
      <c r="F1018" t="s">
        <v>9</v>
      </c>
      <c r="G1018" s="5">
        <v>569.66397400000005</v>
      </c>
      <c r="H1018" s="10">
        <v>13</v>
      </c>
      <c r="I1018" s="2">
        <v>198.27461268689399</v>
      </c>
      <c r="J1018" t="s">
        <v>12</v>
      </c>
    </row>
    <row r="1019" spans="1:10" x14ac:dyDescent="0.25">
      <c r="A1019" t="s">
        <v>218</v>
      </c>
      <c r="B1019" s="1">
        <f t="shared" si="60"/>
        <v>45130</v>
      </c>
      <c r="C1019" s="1" t="str">
        <f t="shared" si="61"/>
        <v>Sunday</v>
      </c>
      <c r="D1019" s="1" t="str">
        <f t="shared" si="62"/>
        <v>July</v>
      </c>
      <c r="E1019" s="1" t="str">
        <f t="shared" si="63"/>
        <v>2023</v>
      </c>
      <c r="F1019" t="s">
        <v>11</v>
      </c>
      <c r="G1019" s="5">
        <v>682.81548475800003</v>
      </c>
      <c r="H1019" s="10">
        <v>8</v>
      </c>
      <c r="I1019" s="2">
        <v>227.08104307602801</v>
      </c>
      <c r="J1019" t="s">
        <v>10</v>
      </c>
    </row>
    <row r="1020" spans="1:10" x14ac:dyDescent="0.25">
      <c r="A1020" t="s">
        <v>218</v>
      </c>
      <c r="B1020" s="1">
        <f t="shared" si="60"/>
        <v>45130</v>
      </c>
      <c r="C1020" s="1" t="str">
        <f t="shared" si="61"/>
        <v>Sunday</v>
      </c>
      <c r="D1020" s="1" t="str">
        <f t="shared" si="62"/>
        <v>July</v>
      </c>
      <c r="E1020" s="1" t="str">
        <f t="shared" si="63"/>
        <v>2023</v>
      </c>
      <c r="F1020" t="s">
        <v>13</v>
      </c>
      <c r="G1020" s="5">
        <v>497.95456971649998</v>
      </c>
      <c r="H1020" s="10">
        <v>19</v>
      </c>
      <c r="I1020" s="2">
        <v>93.681571647580995</v>
      </c>
      <c r="J1020" t="s">
        <v>14</v>
      </c>
    </row>
    <row r="1021" spans="1:10" x14ac:dyDescent="0.25">
      <c r="A1021" t="s">
        <v>218</v>
      </c>
      <c r="B1021" s="1">
        <f t="shared" si="60"/>
        <v>45130</v>
      </c>
      <c r="C1021" s="1" t="str">
        <f t="shared" si="61"/>
        <v>Sunday</v>
      </c>
      <c r="D1021" s="1" t="str">
        <f t="shared" si="62"/>
        <v>July</v>
      </c>
      <c r="E1021" s="1" t="str">
        <f t="shared" si="63"/>
        <v>2023</v>
      </c>
      <c r="F1021" t="s">
        <v>16</v>
      </c>
      <c r="G1021" s="5">
        <v>82.994562966966001</v>
      </c>
      <c r="H1021" s="10">
        <v>19</v>
      </c>
      <c r="I1021" s="2">
        <v>233.77453055382401</v>
      </c>
      <c r="J1021" t="s">
        <v>10</v>
      </c>
    </row>
    <row r="1022" spans="1:10" x14ac:dyDescent="0.25">
      <c r="A1022" t="s">
        <v>219</v>
      </c>
      <c r="B1022" s="1">
        <f t="shared" si="60"/>
        <v>45131</v>
      </c>
      <c r="C1022" s="1" t="str">
        <f t="shared" si="61"/>
        <v>Monday</v>
      </c>
      <c r="D1022" s="1" t="str">
        <f t="shared" si="62"/>
        <v>July</v>
      </c>
      <c r="E1022" s="1" t="str">
        <f t="shared" si="63"/>
        <v>2023</v>
      </c>
      <c r="F1022" t="s">
        <v>7</v>
      </c>
      <c r="G1022" s="5">
        <v>1473.4354172686501</v>
      </c>
      <c r="H1022" s="10">
        <v>6</v>
      </c>
      <c r="I1022" s="2">
        <v>278.03190359331501</v>
      </c>
      <c r="J1022" t="s">
        <v>12</v>
      </c>
    </row>
    <row r="1023" spans="1:10" x14ac:dyDescent="0.25">
      <c r="A1023" t="s">
        <v>219</v>
      </c>
      <c r="B1023" s="1">
        <f t="shared" si="60"/>
        <v>45131</v>
      </c>
      <c r="C1023" s="1" t="str">
        <f t="shared" si="61"/>
        <v>Monday</v>
      </c>
      <c r="D1023" s="1" t="str">
        <f t="shared" si="62"/>
        <v>July</v>
      </c>
      <c r="E1023" s="1" t="str">
        <f t="shared" si="63"/>
        <v>2023</v>
      </c>
      <c r="F1023" t="s">
        <v>9</v>
      </c>
      <c r="G1023" s="5">
        <v>1295.6349568456001</v>
      </c>
      <c r="H1023" s="10">
        <v>5</v>
      </c>
      <c r="I1023" s="2">
        <v>473.49824365662698</v>
      </c>
      <c r="J1023" t="s">
        <v>14</v>
      </c>
    </row>
    <row r="1024" spans="1:10" x14ac:dyDescent="0.25">
      <c r="A1024" t="s">
        <v>219</v>
      </c>
      <c r="B1024" s="1">
        <f t="shared" si="60"/>
        <v>45131</v>
      </c>
      <c r="C1024" s="1" t="str">
        <f t="shared" si="61"/>
        <v>Monday</v>
      </c>
      <c r="D1024" s="1" t="str">
        <f t="shared" si="62"/>
        <v>July</v>
      </c>
      <c r="E1024" s="1" t="str">
        <f t="shared" si="63"/>
        <v>2023</v>
      </c>
      <c r="F1024" t="s">
        <v>11</v>
      </c>
      <c r="G1024" s="5">
        <v>123.144599728</v>
      </c>
      <c r="H1024" s="10">
        <v>4</v>
      </c>
      <c r="I1024" s="2">
        <v>468.032780119238</v>
      </c>
      <c r="J1024" t="s">
        <v>14</v>
      </c>
    </row>
    <row r="1025" spans="1:10" x14ac:dyDescent="0.25">
      <c r="A1025" t="s">
        <v>219</v>
      </c>
      <c r="B1025" s="1">
        <f t="shared" si="60"/>
        <v>45131</v>
      </c>
      <c r="C1025" s="1" t="str">
        <f t="shared" si="61"/>
        <v>Monday</v>
      </c>
      <c r="D1025" s="1" t="str">
        <f t="shared" si="62"/>
        <v>July</v>
      </c>
      <c r="E1025" s="1" t="str">
        <f t="shared" si="63"/>
        <v>2023</v>
      </c>
      <c r="F1025" t="s">
        <v>13</v>
      </c>
      <c r="G1025" s="5">
        <v>926.49837623999997</v>
      </c>
      <c r="H1025" s="10">
        <v>17</v>
      </c>
      <c r="I1025" s="2">
        <v>288.92300158760798</v>
      </c>
      <c r="J1025" t="s">
        <v>10</v>
      </c>
    </row>
    <row r="1026" spans="1:10" x14ac:dyDescent="0.25">
      <c r="A1026" t="s">
        <v>219</v>
      </c>
      <c r="B1026" s="1">
        <f t="shared" si="60"/>
        <v>45131</v>
      </c>
      <c r="C1026" s="1" t="str">
        <f t="shared" si="61"/>
        <v>Monday</v>
      </c>
      <c r="D1026" s="1" t="str">
        <f t="shared" si="62"/>
        <v>July</v>
      </c>
      <c r="E1026" s="1" t="str">
        <f t="shared" si="63"/>
        <v>2023</v>
      </c>
      <c r="F1026" t="s">
        <v>16</v>
      </c>
      <c r="G1026" s="5">
        <v>1416.9892258125999</v>
      </c>
      <c r="H1026" s="10">
        <v>3</v>
      </c>
      <c r="I1026" s="2">
        <v>202.171164458611</v>
      </c>
      <c r="J1026" t="s">
        <v>14</v>
      </c>
    </row>
    <row r="1027" spans="1:10" x14ac:dyDescent="0.25">
      <c r="A1027" t="s">
        <v>220</v>
      </c>
      <c r="B1027" s="1">
        <f t="shared" ref="B1027:B1090" si="64">DATE(VALUE(RIGHT(A1027,4)),VALUE(LEFT(A1027,FIND("/",A1027)-1)),VALUE(MID(A1027,FIND("/",A1027)+1,FIND("/",A1027,FIND("/",A1027)+1)-FIND("/",A1027)-1)))</f>
        <v>45132</v>
      </c>
      <c r="C1027" s="1" t="str">
        <f t="shared" ref="C1027:C1090" si="65">TEXT(B1027,"DDDD")</f>
        <v>Tuesday</v>
      </c>
      <c r="D1027" s="1" t="str">
        <f t="shared" ref="D1027:D1090" si="66">TEXT(B1027,"MMMM")</f>
        <v>July</v>
      </c>
      <c r="E1027" s="1" t="str">
        <f t="shared" ref="E1027:E1090" si="67">TEXT(B1027,"YYYY")</f>
        <v>2023</v>
      </c>
      <c r="F1027" t="s">
        <v>7</v>
      </c>
      <c r="G1027" s="5">
        <v>98.872655446699994</v>
      </c>
      <c r="H1027" s="10">
        <v>1</v>
      </c>
      <c r="I1027" s="2">
        <v>115.151286340506</v>
      </c>
      <c r="J1027" t="s">
        <v>14</v>
      </c>
    </row>
    <row r="1028" spans="1:10" x14ac:dyDescent="0.25">
      <c r="A1028" t="s">
        <v>220</v>
      </c>
      <c r="B1028" s="1">
        <f t="shared" si="64"/>
        <v>45132</v>
      </c>
      <c r="C1028" s="1" t="str">
        <f t="shared" si="65"/>
        <v>Tuesday</v>
      </c>
      <c r="D1028" s="1" t="str">
        <f t="shared" si="66"/>
        <v>July</v>
      </c>
      <c r="E1028" s="1" t="str">
        <f t="shared" si="67"/>
        <v>2023</v>
      </c>
      <c r="F1028" t="s">
        <v>9</v>
      </c>
      <c r="G1028" s="5">
        <v>859.46984550000002</v>
      </c>
      <c r="H1028" s="10">
        <v>4</v>
      </c>
      <c r="I1028" s="2">
        <v>137.12611251979101</v>
      </c>
      <c r="J1028" t="s">
        <v>10</v>
      </c>
    </row>
    <row r="1029" spans="1:10" x14ac:dyDescent="0.25">
      <c r="A1029" t="s">
        <v>220</v>
      </c>
      <c r="B1029" s="1">
        <f t="shared" si="64"/>
        <v>45132</v>
      </c>
      <c r="C1029" s="1" t="str">
        <f t="shared" si="65"/>
        <v>Tuesday</v>
      </c>
      <c r="D1029" s="1" t="str">
        <f t="shared" si="66"/>
        <v>July</v>
      </c>
      <c r="E1029" s="1" t="str">
        <f t="shared" si="67"/>
        <v>2023</v>
      </c>
      <c r="F1029" t="s">
        <v>11</v>
      </c>
      <c r="G1029" s="5">
        <v>653.59157721140002</v>
      </c>
      <c r="H1029" s="10">
        <v>9</v>
      </c>
      <c r="I1029" s="2">
        <v>112.415665774641</v>
      </c>
      <c r="J1029" t="s">
        <v>14</v>
      </c>
    </row>
    <row r="1030" spans="1:10" x14ac:dyDescent="0.25">
      <c r="A1030" t="s">
        <v>220</v>
      </c>
      <c r="B1030" s="1">
        <f t="shared" si="64"/>
        <v>45132</v>
      </c>
      <c r="C1030" s="1" t="str">
        <f t="shared" si="65"/>
        <v>Tuesday</v>
      </c>
      <c r="D1030" s="1" t="str">
        <f t="shared" si="66"/>
        <v>July</v>
      </c>
      <c r="E1030" s="1" t="str">
        <f t="shared" si="67"/>
        <v>2023</v>
      </c>
      <c r="F1030" t="s">
        <v>13</v>
      </c>
      <c r="G1030" s="5">
        <v>671.37972997228997</v>
      </c>
      <c r="H1030" s="10">
        <v>14</v>
      </c>
      <c r="I1030" s="2">
        <v>157.52827046486701</v>
      </c>
      <c r="J1030" t="s">
        <v>10</v>
      </c>
    </row>
    <row r="1031" spans="1:10" x14ac:dyDescent="0.25">
      <c r="A1031" t="s">
        <v>220</v>
      </c>
      <c r="B1031" s="1">
        <f t="shared" si="64"/>
        <v>45132</v>
      </c>
      <c r="C1031" s="1" t="str">
        <f t="shared" si="65"/>
        <v>Tuesday</v>
      </c>
      <c r="D1031" s="1" t="str">
        <f t="shared" si="66"/>
        <v>July</v>
      </c>
      <c r="E1031" s="1" t="str">
        <f t="shared" si="67"/>
        <v>2023</v>
      </c>
      <c r="F1031" t="s">
        <v>16</v>
      </c>
      <c r="G1031" s="5">
        <v>189.51755396989</v>
      </c>
      <c r="H1031" s="10">
        <v>2</v>
      </c>
      <c r="I1031" s="2">
        <v>170.855991414557</v>
      </c>
      <c r="J1031" t="s">
        <v>14</v>
      </c>
    </row>
    <row r="1032" spans="1:10" x14ac:dyDescent="0.25">
      <c r="A1032" t="s">
        <v>221</v>
      </c>
      <c r="B1032" s="1">
        <f t="shared" si="64"/>
        <v>45133</v>
      </c>
      <c r="C1032" s="1" t="str">
        <f t="shared" si="65"/>
        <v>Wednesday</v>
      </c>
      <c r="D1032" s="1" t="str">
        <f t="shared" si="66"/>
        <v>July</v>
      </c>
      <c r="E1032" s="1" t="str">
        <f t="shared" si="67"/>
        <v>2023</v>
      </c>
      <c r="F1032" t="s">
        <v>7</v>
      </c>
      <c r="G1032" s="5">
        <v>1622.6912626497499</v>
      </c>
      <c r="H1032" s="10">
        <v>8</v>
      </c>
      <c r="I1032" s="2">
        <v>443.59078406446702</v>
      </c>
      <c r="J1032" t="s">
        <v>10</v>
      </c>
    </row>
    <row r="1033" spans="1:10" x14ac:dyDescent="0.25">
      <c r="A1033" t="s">
        <v>221</v>
      </c>
      <c r="B1033" s="1">
        <f t="shared" si="64"/>
        <v>45133</v>
      </c>
      <c r="C1033" s="1" t="str">
        <f t="shared" si="65"/>
        <v>Wednesday</v>
      </c>
      <c r="D1033" s="1" t="str">
        <f t="shared" si="66"/>
        <v>July</v>
      </c>
      <c r="E1033" s="1" t="str">
        <f t="shared" si="67"/>
        <v>2023</v>
      </c>
      <c r="F1033" t="s">
        <v>9</v>
      </c>
      <c r="G1033" s="5">
        <v>888.31825471432001</v>
      </c>
      <c r="H1033" s="10">
        <v>5</v>
      </c>
      <c r="I1033" s="2">
        <v>119.424687290159</v>
      </c>
      <c r="J1033" t="s">
        <v>10</v>
      </c>
    </row>
    <row r="1034" spans="1:10" x14ac:dyDescent="0.25">
      <c r="A1034" t="s">
        <v>221</v>
      </c>
      <c r="B1034" s="1">
        <f t="shared" si="64"/>
        <v>45133</v>
      </c>
      <c r="C1034" s="1" t="str">
        <f t="shared" si="65"/>
        <v>Wednesday</v>
      </c>
      <c r="D1034" s="1" t="str">
        <f t="shared" si="66"/>
        <v>July</v>
      </c>
      <c r="E1034" s="1" t="str">
        <f t="shared" si="67"/>
        <v>2023</v>
      </c>
      <c r="F1034" t="s">
        <v>11</v>
      </c>
      <c r="G1034" s="5">
        <v>119.633884943</v>
      </c>
      <c r="H1034" s="10">
        <v>15</v>
      </c>
      <c r="I1034" s="2">
        <v>262.79892997087597</v>
      </c>
      <c r="J1034" t="s">
        <v>10</v>
      </c>
    </row>
    <row r="1035" spans="1:10" x14ac:dyDescent="0.25">
      <c r="A1035" t="s">
        <v>221</v>
      </c>
      <c r="B1035" s="1">
        <f t="shared" si="64"/>
        <v>45133</v>
      </c>
      <c r="C1035" s="1" t="str">
        <f t="shared" si="65"/>
        <v>Wednesday</v>
      </c>
      <c r="D1035" s="1" t="str">
        <f t="shared" si="66"/>
        <v>July</v>
      </c>
      <c r="E1035" s="1" t="str">
        <f t="shared" si="67"/>
        <v>2023</v>
      </c>
      <c r="F1035" t="s">
        <v>13</v>
      </c>
      <c r="G1035" s="5">
        <v>664.774547945981</v>
      </c>
      <c r="H1035" s="10">
        <v>18</v>
      </c>
      <c r="I1035" s="2">
        <v>245.08167105181499</v>
      </c>
      <c r="J1035" t="s">
        <v>10</v>
      </c>
    </row>
    <row r="1036" spans="1:10" x14ac:dyDescent="0.25">
      <c r="A1036" t="s">
        <v>221</v>
      </c>
      <c r="B1036" s="1">
        <f t="shared" si="64"/>
        <v>45133</v>
      </c>
      <c r="C1036" s="1" t="str">
        <f t="shared" si="65"/>
        <v>Wednesday</v>
      </c>
      <c r="D1036" s="1" t="str">
        <f t="shared" si="66"/>
        <v>July</v>
      </c>
      <c r="E1036" s="1" t="str">
        <f t="shared" si="67"/>
        <v>2023</v>
      </c>
      <c r="F1036" t="s">
        <v>16</v>
      </c>
      <c r="G1036" s="5">
        <v>686.99954784899001</v>
      </c>
      <c r="H1036" s="10">
        <v>16</v>
      </c>
      <c r="I1036" s="2">
        <v>124.683516461106</v>
      </c>
      <c r="J1036" t="s">
        <v>8</v>
      </c>
    </row>
    <row r="1037" spans="1:10" x14ac:dyDescent="0.25">
      <c r="A1037" t="s">
        <v>222</v>
      </c>
      <c r="B1037" s="1">
        <f t="shared" si="64"/>
        <v>45134</v>
      </c>
      <c r="C1037" s="1" t="str">
        <f t="shared" si="65"/>
        <v>Thursday</v>
      </c>
      <c r="D1037" s="1" t="str">
        <f t="shared" si="66"/>
        <v>July</v>
      </c>
      <c r="E1037" s="1" t="str">
        <f t="shared" si="67"/>
        <v>2023</v>
      </c>
      <c r="F1037" t="s">
        <v>7</v>
      </c>
      <c r="G1037" s="5">
        <v>681.11319250999998</v>
      </c>
      <c r="H1037" s="10">
        <v>2</v>
      </c>
      <c r="I1037" s="2">
        <v>105.8375044</v>
      </c>
      <c r="J1037" t="s">
        <v>12</v>
      </c>
    </row>
    <row r="1038" spans="1:10" x14ac:dyDescent="0.25">
      <c r="A1038" t="s">
        <v>222</v>
      </c>
      <c r="B1038" s="1">
        <f t="shared" si="64"/>
        <v>45134</v>
      </c>
      <c r="C1038" s="1" t="str">
        <f t="shared" si="65"/>
        <v>Thursday</v>
      </c>
      <c r="D1038" s="1" t="str">
        <f t="shared" si="66"/>
        <v>July</v>
      </c>
      <c r="E1038" s="1" t="str">
        <f t="shared" si="67"/>
        <v>2023</v>
      </c>
      <c r="F1038" t="s">
        <v>9</v>
      </c>
      <c r="G1038" s="5">
        <v>135.5719995581</v>
      </c>
      <c r="H1038" s="10">
        <v>1</v>
      </c>
      <c r="I1038" s="2">
        <v>176.35282701522399</v>
      </c>
      <c r="J1038" t="s">
        <v>8</v>
      </c>
    </row>
    <row r="1039" spans="1:10" x14ac:dyDescent="0.25">
      <c r="A1039" t="s">
        <v>222</v>
      </c>
      <c r="B1039" s="1">
        <f t="shared" si="64"/>
        <v>45134</v>
      </c>
      <c r="C1039" s="1" t="str">
        <f t="shared" si="65"/>
        <v>Thursday</v>
      </c>
      <c r="D1039" s="1" t="str">
        <f t="shared" si="66"/>
        <v>July</v>
      </c>
      <c r="E1039" s="1" t="str">
        <f t="shared" si="67"/>
        <v>2023</v>
      </c>
      <c r="F1039" t="s">
        <v>11</v>
      </c>
      <c r="G1039" s="5">
        <v>187.34329247810001</v>
      </c>
      <c r="H1039" s="10">
        <v>15</v>
      </c>
      <c r="I1039" s="2">
        <v>418.59443908336698</v>
      </c>
      <c r="J1039" t="s">
        <v>12</v>
      </c>
    </row>
    <row r="1040" spans="1:10" x14ac:dyDescent="0.25">
      <c r="A1040" t="s">
        <v>222</v>
      </c>
      <c r="B1040" s="1">
        <f t="shared" si="64"/>
        <v>45134</v>
      </c>
      <c r="C1040" s="1" t="str">
        <f t="shared" si="65"/>
        <v>Thursday</v>
      </c>
      <c r="D1040" s="1" t="str">
        <f t="shared" si="66"/>
        <v>July</v>
      </c>
      <c r="E1040" s="1" t="str">
        <f t="shared" si="67"/>
        <v>2023</v>
      </c>
      <c r="F1040" t="s">
        <v>13</v>
      </c>
      <c r="G1040" s="5">
        <v>589.55488351559995</v>
      </c>
      <c r="H1040" s="10">
        <v>5</v>
      </c>
      <c r="I1040" s="2">
        <v>121.756165466327</v>
      </c>
      <c r="J1040" t="s">
        <v>10</v>
      </c>
    </row>
    <row r="1041" spans="1:10" x14ac:dyDescent="0.25">
      <c r="A1041" t="s">
        <v>222</v>
      </c>
      <c r="B1041" s="1">
        <f t="shared" si="64"/>
        <v>45134</v>
      </c>
      <c r="C1041" s="1" t="str">
        <f t="shared" si="65"/>
        <v>Thursday</v>
      </c>
      <c r="D1041" s="1" t="str">
        <f t="shared" si="66"/>
        <v>July</v>
      </c>
      <c r="E1041" s="1" t="str">
        <f t="shared" si="67"/>
        <v>2023</v>
      </c>
      <c r="F1041" t="s">
        <v>16</v>
      </c>
      <c r="G1041" s="5">
        <v>1596.1827997692401</v>
      </c>
      <c r="H1041" s="10">
        <v>16</v>
      </c>
      <c r="I1041" s="2">
        <v>263.964919586463</v>
      </c>
      <c r="J1041" t="s">
        <v>10</v>
      </c>
    </row>
    <row r="1042" spans="1:10" x14ac:dyDescent="0.25">
      <c r="A1042" t="s">
        <v>223</v>
      </c>
      <c r="B1042" s="1">
        <f t="shared" si="64"/>
        <v>45135</v>
      </c>
      <c r="C1042" s="1" t="str">
        <f t="shared" si="65"/>
        <v>Friday</v>
      </c>
      <c r="D1042" s="1" t="str">
        <f t="shared" si="66"/>
        <v>July</v>
      </c>
      <c r="E1042" s="1" t="str">
        <f t="shared" si="67"/>
        <v>2023</v>
      </c>
      <c r="F1042" t="s">
        <v>7</v>
      </c>
      <c r="G1042" s="5">
        <v>1163.4381361200001</v>
      </c>
      <c r="H1042" s="10">
        <v>3</v>
      </c>
      <c r="I1042" s="2">
        <v>314.00040369724502</v>
      </c>
      <c r="J1042" t="s">
        <v>10</v>
      </c>
    </row>
    <row r="1043" spans="1:10" x14ac:dyDescent="0.25">
      <c r="A1043" t="s">
        <v>223</v>
      </c>
      <c r="B1043" s="1">
        <f t="shared" si="64"/>
        <v>45135</v>
      </c>
      <c r="C1043" s="1" t="str">
        <f t="shared" si="65"/>
        <v>Friday</v>
      </c>
      <c r="D1043" s="1" t="str">
        <f t="shared" si="66"/>
        <v>July</v>
      </c>
      <c r="E1043" s="1" t="str">
        <f t="shared" si="67"/>
        <v>2023</v>
      </c>
      <c r="F1043" t="s">
        <v>9</v>
      </c>
      <c r="G1043" s="5">
        <v>159.94313115610001</v>
      </c>
      <c r="H1043" s="10">
        <v>3</v>
      </c>
      <c r="I1043" s="2">
        <v>236.63985859824501</v>
      </c>
      <c r="J1043" t="s">
        <v>12</v>
      </c>
    </row>
    <row r="1044" spans="1:10" x14ac:dyDescent="0.25">
      <c r="A1044" t="s">
        <v>223</v>
      </c>
      <c r="B1044" s="1">
        <f t="shared" si="64"/>
        <v>45135</v>
      </c>
      <c r="C1044" s="1" t="str">
        <f t="shared" si="65"/>
        <v>Friday</v>
      </c>
      <c r="D1044" s="1" t="str">
        <f t="shared" si="66"/>
        <v>July</v>
      </c>
      <c r="E1044" s="1" t="str">
        <f t="shared" si="67"/>
        <v>2023</v>
      </c>
      <c r="F1044" t="s">
        <v>11</v>
      </c>
      <c r="G1044" s="5">
        <v>114.14872155</v>
      </c>
      <c r="H1044" s="10">
        <v>5</v>
      </c>
      <c r="I1044" s="2">
        <v>147.77005224667701</v>
      </c>
      <c r="J1044" t="s">
        <v>8</v>
      </c>
    </row>
    <row r="1045" spans="1:10" x14ac:dyDescent="0.25">
      <c r="A1045" t="s">
        <v>223</v>
      </c>
      <c r="B1045" s="1">
        <f t="shared" si="64"/>
        <v>45135</v>
      </c>
      <c r="C1045" s="1" t="str">
        <f t="shared" si="65"/>
        <v>Friday</v>
      </c>
      <c r="D1045" s="1" t="str">
        <f t="shared" si="66"/>
        <v>July</v>
      </c>
      <c r="E1045" s="1" t="str">
        <f t="shared" si="67"/>
        <v>2023</v>
      </c>
      <c r="F1045" t="s">
        <v>13</v>
      </c>
      <c r="G1045" s="5">
        <v>1151.9193257869999</v>
      </c>
      <c r="H1045" s="10">
        <v>5</v>
      </c>
      <c r="I1045" s="2">
        <v>156.213670909325</v>
      </c>
      <c r="J1045" t="s">
        <v>8</v>
      </c>
    </row>
    <row r="1046" spans="1:10" x14ac:dyDescent="0.25">
      <c r="A1046" t="s">
        <v>223</v>
      </c>
      <c r="B1046" s="1">
        <f t="shared" si="64"/>
        <v>45135</v>
      </c>
      <c r="C1046" s="1" t="str">
        <f t="shared" si="65"/>
        <v>Friday</v>
      </c>
      <c r="D1046" s="1" t="str">
        <f t="shared" si="66"/>
        <v>July</v>
      </c>
      <c r="E1046" s="1" t="str">
        <f t="shared" si="67"/>
        <v>2023</v>
      </c>
      <c r="F1046" t="s">
        <v>16</v>
      </c>
      <c r="G1046" s="5">
        <v>572.62498867199997</v>
      </c>
      <c r="H1046" s="10">
        <v>16</v>
      </c>
      <c r="I1046" s="2">
        <v>191.85798934063101</v>
      </c>
      <c r="J1046" t="s">
        <v>14</v>
      </c>
    </row>
    <row r="1047" spans="1:10" x14ac:dyDescent="0.25">
      <c r="A1047" t="s">
        <v>224</v>
      </c>
      <c r="B1047" s="1">
        <f t="shared" si="64"/>
        <v>45136</v>
      </c>
      <c r="C1047" s="1" t="str">
        <f t="shared" si="65"/>
        <v>Saturday</v>
      </c>
      <c r="D1047" s="1" t="str">
        <f t="shared" si="66"/>
        <v>July</v>
      </c>
      <c r="E1047" s="1" t="str">
        <f t="shared" si="67"/>
        <v>2023</v>
      </c>
      <c r="F1047" t="s">
        <v>7</v>
      </c>
      <c r="G1047" s="5">
        <v>1132.8356575965499</v>
      </c>
      <c r="H1047" s="10">
        <v>19</v>
      </c>
      <c r="I1047" s="2">
        <v>337.14921459098798</v>
      </c>
      <c r="J1047" t="s">
        <v>14</v>
      </c>
    </row>
    <row r="1048" spans="1:10" x14ac:dyDescent="0.25">
      <c r="A1048" t="s">
        <v>224</v>
      </c>
      <c r="B1048" s="1">
        <f t="shared" si="64"/>
        <v>45136</v>
      </c>
      <c r="C1048" s="1" t="str">
        <f t="shared" si="65"/>
        <v>Saturday</v>
      </c>
      <c r="D1048" s="1" t="str">
        <f t="shared" si="66"/>
        <v>July</v>
      </c>
      <c r="E1048" s="1" t="str">
        <f t="shared" si="67"/>
        <v>2023</v>
      </c>
      <c r="F1048" t="s">
        <v>9</v>
      </c>
      <c r="G1048" s="5">
        <v>113.449366235</v>
      </c>
      <c r="H1048" s="10">
        <v>13</v>
      </c>
      <c r="I1048" s="2">
        <v>305.66479195378201</v>
      </c>
      <c r="J1048" t="s">
        <v>10</v>
      </c>
    </row>
    <row r="1049" spans="1:10" x14ac:dyDescent="0.25">
      <c r="A1049" t="s">
        <v>224</v>
      </c>
      <c r="B1049" s="1">
        <f t="shared" si="64"/>
        <v>45136</v>
      </c>
      <c r="C1049" s="1" t="str">
        <f t="shared" si="65"/>
        <v>Saturday</v>
      </c>
      <c r="D1049" s="1" t="str">
        <f t="shared" si="66"/>
        <v>July</v>
      </c>
      <c r="E1049" s="1" t="str">
        <f t="shared" si="67"/>
        <v>2023</v>
      </c>
      <c r="F1049" t="s">
        <v>11</v>
      </c>
      <c r="G1049" s="5">
        <v>93.174692164468993</v>
      </c>
      <c r="H1049" s="10">
        <v>9</v>
      </c>
      <c r="I1049" s="2">
        <v>98.927926064510899</v>
      </c>
      <c r="J1049" t="s">
        <v>12</v>
      </c>
    </row>
    <row r="1050" spans="1:10" x14ac:dyDescent="0.25">
      <c r="A1050" t="s">
        <v>224</v>
      </c>
      <c r="B1050" s="1">
        <f t="shared" si="64"/>
        <v>45136</v>
      </c>
      <c r="C1050" s="1" t="str">
        <f t="shared" si="65"/>
        <v>Saturday</v>
      </c>
      <c r="D1050" s="1" t="str">
        <f t="shared" si="66"/>
        <v>July</v>
      </c>
      <c r="E1050" s="1" t="str">
        <f t="shared" si="67"/>
        <v>2023</v>
      </c>
      <c r="F1050" t="s">
        <v>13</v>
      </c>
      <c r="G1050" s="5">
        <v>427.65773263678199</v>
      </c>
      <c r="H1050" s="10">
        <v>12</v>
      </c>
      <c r="I1050" s="2">
        <v>109.94051599639801</v>
      </c>
      <c r="J1050" t="s">
        <v>12</v>
      </c>
    </row>
    <row r="1051" spans="1:10" x14ac:dyDescent="0.25">
      <c r="A1051" t="s">
        <v>224</v>
      </c>
      <c r="B1051" s="1">
        <f t="shared" si="64"/>
        <v>45136</v>
      </c>
      <c r="C1051" s="1" t="str">
        <f t="shared" si="65"/>
        <v>Saturday</v>
      </c>
      <c r="D1051" s="1" t="str">
        <f t="shared" si="66"/>
        <v>July</v>
      </c>
      <c r="E1051" s="1" t="str">
        <f t="shared" si="67"/>
        <v>2023</v>
      </c>
      <c r="F1051" t="s">
        <v>16</v>
      </c>
      <c r="G1051" s="5">
        <v>741.88449676614903</v>
      </c>
      <c r="H1051" s="10">
        <v>8</v>
      </c>
      <c r="I1051" s="2">
        <v>294.40167596857401</v>
      </c>
      <c r="J1051" t="s">
        <v>8</v>
      </c>
    </row>
    <row r="1052" spans="1:10" x14ac:dyDescent="0.25">
      <c r="A1052" t="s">
        <v>225</v>
      </c>
      <c r="B1052" s="1">
        <f t="shared" si="64"/>
        <v>45137</v>
      </c>
      <c r="C1052" s="1" t="str">
        <f t="shared" si="65"/>
        <v>Sunday</v>
      </c>
      <c r="D1052" s="1" t="str">
        <f t="shared" si="66"/>
        <v>July</v>
      </c>
      <c r="E1052" s="1" t="str">
        <f t="shared" si="67"/>
        <v>2023</v>
      </c>
      <c r="F1052" t="s">
        <v>7</v>
      </c>
      <c r="G1052" s="5">
        <v>1145.8188682529001</v>
      </c>
      <c r="H1052" s="10">
        <v>10</v>
      </c>
      <c r="I1052" s="2">
        <v>397.67162081883799</v>
      </c>
      <c r="J1052" t="s">
        <v>8</v>
      </c>
    </row>
    <row r="1053" spans="1:10" x14ac:dyDescent="0.25">
      <c r="A1053" t="s">
        <v>225</v>
      </c>
      <c r="B1053" s="1">
        <f t="shared" si="64"/>
        <v>45137</v>
      </c>
      <c r="C1053" s="1" t="str">
        <f t="shared" si="65"/>
        <v>Sunday</v>
      </c>
      <c r="D1053" s="1" t="str">
        <f t="shared" si="66"/>
        <v>July</v>
      </c>
      <c r="E1053" s="1" t="str">
        <f t="shared" si="67"/>
        <v>2023</v>
      </c>
      <c r="F1053" t="s">
        <v>9</v>
      </c>
      <c r="G1053" s="5">
        <v>535.888331849</v>
      </c>
      <c r="H1053" s="10">
        <v>6</v>
      </c>
      <c r="I1053" s="2">
        <v>197.58766964289001</v>
      </c>
      <c r="J1053" t="s">
        <v>14</v>
      </c>
    </row>
    <row r="1054" spans="1:10" x14ac:dyDescent="0.25">
      <c r="A1054" t="s">
        <v>225</v>
      </c>
      <c r="B1054" s="1">
        <f t="shared" si="64"/>
        <v>45137</v>
      </c>
      <c r="C1054" s="1" t="str">
        <f t="shared" si="65"/>
        <v>Sunday</v>
      </c>
      <c r="D1054" s="1" t="str">
        <f t="shared" si="66"/>
        <v>July</v>
      </c>
      <c r="E1054" s="1" t="str">
        <f t="shared" si="67"/>
        <v>2023</v>
      </c>
      <c r="F1054" t="s">
        <v>11</v>
      </c>
      <c r="G1054" s="5">
        <v>1346.692859795</v>
      </c>
      <c r="H1054" s="10">
        <v>17</v>
      </c>
      <c r="I1054" s="2">
        <v>359.66045428200499</v>
      </c>
      <c r="J1054" t="s">
        <v>8</v>
      </c>
    </row>
    <row r="1055" spans="1:10" x14ac:dyDescent="0.25">
      <c r="A1055" t="s">
        <v>225</v>
      </c>
      <c r="B1055" s="1">
        <f t="shared" si="64"/>
        <v>45137</v>
      </c>
      <c r="C1055" s="1" t="str">
        <f t="shared" si="65"/>
        <v>Sunday</v>
      </c>
      <c r="D1055" s="1" t="str">
        <f t="shared" si="66"/>
        <v>July</v>
      </c>
      <c r="E1055" s="1" t="str">
        <f t="shared" si="67"/>
        <v>2023</v>
      </c>
      <c r="F1055" t="s">
        <v>13</v>
      </c>
      <c r="G1055" s="5">
        <v>844.41766299109997</v>
      </c>
      <c r="H1055" s="10">
        <v>17</v>
      </c>
      <c r="I1055" s="2">
        <v>295.86474895585599</v>
      </c>
      <c r="J1055" t="s">
        <v>14</v>
      </c>
    </row>
    <row r="1056" spans="1:10" x14ac:dyDescent="0.25">
      <c r="A1056" t="s">
        <v>225</v>
      </c>
      <c r="B1056" s="1">
        <f t="shared" si="64"/>
        <v>45137</v>
      </c>
      <c r="C1056" s="1" t="str">
        <f t="shared" si="65"/>
        <v>Sunday</v>
      </c>
      <c r="D1056" s="1" t="str">
        <f t="shared" si="66"/>
        <v>July</v>
      </c>
      <c r="E1056" s="1" t="str">
        <f t="shared" si="67"/>
        <v>2023</v>
      </c>
      <c r="F1056" t="s">
        <v>16</v>
      </c>
      <c r="G1056" s="5">
        <v>137.14516962677999</v>
      </c>
      <c r="H1056" s="10">
        <v>14</v>
      </c>
      <c r="I1056" s="2">
        <v>212.10082242973499</v>
      </c>
      <c r="J1056" t="s">
        <v>14</v>
      </c>
    </row>
    <row r="1057" spans="1:10" x14ac:dyDescent="0.25">
      <c r="A1057" t="s">
        <v>226</v>
      </c>
      <c r="B1057" s="1">
        <f t="shared" si="64"/>
        <v>45138</v>
      </c>
      <c r="C1057" s="1" t="str">
        <f t="shared" si="65"/>
        <v>Monday</v>
      </c>
      <c r="D1057" s="1" t="str">
        <f t="shared" si="66"/>
        <v>July</v>
      </c>
      <c r="E1057" s="1" t="str">
        <f t="shared" si="67"/>
        <v>2023</v>
      </c>
      <c r="F1057" t="s">
        <v>7</v>
      </c>
      <c r="G1057" s="5">
        <v>98.599741288199994</v>
      </c>
      <c r="H1057" s="10">
        <v>15</v>
      </c>
      <c r="I1057" s="2">
        <v>340.35350391557802</v>
      </c>
      <c r="J1057" t="s">
        <v>10</v>
      </c>
    </row>
    <row r="1058" spans="1:10" x14ac:dyDescent="0.25">
      <c r="A1058" t="s">
        <v>226</v>
      </c>
      <c r="B1058" s="1">
        <f t="shared" si="64"/>
        <v>45138</v>
      </c>
      <c r="C1058" s="1" t="str">
        <f t="shared" si="65"/>
        <v>Monday</v>
      </c>
      <c r="D1058" s="1" t="str">
        <f t="shared" si="66"/>
        <v>July</v>
      </c>
      <c r="E1058" s="1" t="str">
        <f t="shared" si="67"/>
        <v>2023</v>
      </c>
      <c r="F1058" t="s">
        <v>9</v>
      </c>
      <c r="G1058" s="5">
        <v>785.64564278277999</v>
      </c>
      <c r="H1058" s="10">
        <v>3</v>
      </c>
      <c r="I1058" s="2">
        <v>82.513919299312505</v>
      </c>
      <c r="J1058" t="s">
        <v>8</v>
      </c>
    </row>
    <row r="1059" spans="1:10" x14ac:dyDescent="0.25">
      <c r="A1059" t="s">
        <v>226</v>
      </c>
      <c r="B1059" s="1">
        <f t="shared" si="64"/>
        <v>45138</v>
      </c>
      <c r="C1059" s="1" t="str">
        <f t="shared" si="65"/>
        <v>Monday</v>
      </c>
      <c r="D1059" s="1" t="str">
        <f t="shared" si="66"/>
        <v>July</v>
      </c>
      <c r="E1059" s="1" t="str">
        <f t="shared" si="67"/>
        <v>2023</v>
      </c>
      <c r="F1059" t="s">
        <v>11</v>
      </c>
      <c r="G1059" s="5">
        <v>1269.9233158613999</v>
      </c>
      <c r="H1059" s="10">
        <v>17</v>
      </c>
      <c r="I1059" s="2">
        <v>287.10467753564598</v>
      </c>
      <c r="J1059" t="s">
        <v>12</v>
      </c>
    </row>
    <row r="1060" spans="1:10" x14ac:dyDescent="0.25">
      <c r="A1060" t="s">
        <v>226</v>
      </c>
      <c r="B1060" s="1">
        <f t="shared" si="64"/>
        <v>45138</v>
      </c>
      <c r="C1060" s="1" t="str">
        <f t="shared" si="65"/>
        <v>Monday</v>
      </c>
      <c r="D1060" s="1" t="str">
        <f t="shared" si="66"/>
        <v>July</v>
      </c>
      <c r="E1060" s="1" t="str">
        <f t="shared" si="67"/>
        <v>2023</v>
      </c>
      <c r="F1060" t="s">
        <v>13</v>
      </c>
      <c r="G1060" s="5">
        <v>991.95446900000002</v>
      </c>
      <c r="H1060" s="10">
        <v>6</v>
      </c>
      <c r="I1060" s="2">
        <v>147.17136646433599</v>
      </c>
      <c r="J1060" t="s">
        <v>14</v>
      </c>
    </row>
    <row r="1061" spans="1:10" x14ac:dyDescent="0.25">
      <c r="A1061" t="s">
        <v>226</v>
      </c>
      <c r="B1061" s="1">
        <f t="shared" si="64"/>
        <v>45138</v>
      </c>
      <c r="C1061" s="1" t="str">
        <f t="shared" si="65"/>
        <v>Monday</v>
      </c>
      <c r="D1061" s="1" t="str">
        <f t="shared" si="66"/>
        <v>July</v>
      </c>
      <c r="E1061" s="1" t="str">
        <f t="shared" si="67"/>
        <v>2023</v>
      </c>
      <c r="F1061" t="s">
        <v>16</v>
      </c>
      <c r="G1061" s="5">
        <v>845.84841494716795</v>
      </c>
      <c r="H1061" s="10">
        <v>18</v>
      </c>
      <c r="I1061" s="2">
        <v>331.01877819630698</v>
      </c>
      <c r="J1061" t="s">
        <v>8</v>
      </c>
    </row>
    <row r="1062" spans="1:10" x14ac:dyDescent="0.25">
      <c r="A1062" t="s">
        <v>227</v>
      </c>
      <c r="B1062" s="1">
        <f t="shared" si="64"/>
        <v>45139</v>
      </c>
      <c r="C1062" s="1" t="str">
        <f t="shared" si="65"/>
        <v>Tuesday</v>
      </c>
      <c r="D1062" s="1" t="str">
        <f t="shared" si="66"/>
        <v>August</v>
      </c>
      <c r="E1062" s="1" t="str">
        <f t="shared" si="67"/>
        <v>2023</v>
      </c>
      <c r="F1062" t="s">
        <v>7</v>
      </c>
      <c r="G1062" s="5">
        <v>783.87554295884797</v>
      </c>
      <c r="H1062" s="10">
        <v>15</v>
      </c>
      <c r="I1062" s="2">
        <v>222.49425478711501</v>
      </c>
      <c r="J1062" t="s">
        <v>10</v>
      </c>
    </row>
    <row r="1063" spans="1:10" x14ac:dyDescent="0.25">
      <c r="A1063" t="s">
        <v>227</v>
      </c>
      <c r="B1063" s="1">
        <f t="shared" si="64"/>
        <v>45139</v>
      </c>
      <c r="C1063" s="1" t="str">
        <f t="shared" si="65"/>
        <v>Tuesday</v>
      </c>
      <c r="D1063" s="1" t="str">
        <f t="shared" si="66"/>
        <v>August</v>
      </c>
      <c r="E1063" s="1" t="str">
        <f t="shared" si="67"/>
        <v>2023</v>
      </c>
      <c r="F1063" t="s">
        <v>9</v>
      </c>
      <c r="G1063" s="5">
        <v>771.31524768500003</v>
      </c>
      <c r="H1063" s="10">
        <v>15</v>
      </c>
      <c r="I1063" s="2">
        <v>230.26330143349799</v>
      </c>
      <c r="J1063" t="s">
        <v>8</v>
      </c>
    </row>
    <row r="1064" spans="1:10" x14ac:dyDescent="0.25">
      <c r="A1064" t="s">
        <v>227</v>
      </c>
      <c r="B1064" s="1">
        <f t="shared" si="64"/>
        <v>45139</v>
      </c>
      <c r="C1064" s="1" t="str">
        <f t="shared" si="65"/>
        <v>Tuesday</v>
      </c>
      <c r="D1064" s="1" t="str">
        <f t="shared" si="66"/>
        <v>August</v>
      </c>
      <c r="E1064" s="1" t="str">
        <f t="shared" si="67"/>
        <v>2023</v>
      </c>
      <c r="F1064" t="s">
        <v>11</v>
      </c>
      <c r="G1064" s="5">
        <v>632.8537997748</v>
      </c>
      <c r="H1064" s="10">
        <v>3</v>
      </c>
      <c r="I1064" s="2">
        <v>139.826149196583</v>
      </c>
      <c r="J1064" t="s">
        <v>14</v>
      </c>
    </row>
    <row r="1065" spans="1:10" x14ac:dyDescent="0.25">
      <c r="A1065" t="s">
        <v>227</v>
      </c>
      <c r="B1065" s="1">
        <f t="shared" si="64"/>
        <v>45139</v>
      </c>
      <c r="C1065" s="1" t="str">
        <f t="shared" si="65"/>
        <v>Tuesday</v>
      </c>
      <c r="D1065" s="1" t="str">
        <f t="shared" si="66"/>
        <v>August</v>
      </c>
      <c r="E1065" s="1" t="str">
        <f t="shared" si="67"/>
        <v>2023</v>
      </c>
      <c r="F1065" t="s">
        <v>13</v>
      </c>
      <c r="G1065" s="5">
        <v>122.798481831</v>
      </c>
      <c r="H1065" s="10">
        <v>12</v>
      </c>
      <c r="I1065" s="2">
        <v>414.21457403266197</v>
      </c>
      <c r="J1065" t="s">
        <v>8</v>
      </c>
    </row>
    <row r="1066" spans="1:10" x14ac:dyDescent="0.25">
      <c r="A1066" t="s">
        <v>227</v>
      </c>
      <c r="B1066" s="1">
        <f t="shared" si="64"/>
        <v>45139</v>
      </c>
      <c r="C1066" s="1" t="str">
        <f t="shared" si="65"/>
        <v>Tuesday</v>
      </c>
      <c r="D1066" s="1" t="str">
        <f t="shared" si="66"/>
        <v>August</v>
      </c>
      <c r="E1066" s="1" t="str">
        <f t="shared" si="67"/>
        <v>2023</v>
      </c>
      <c r="F1066" t="s">
        <v>16</v>
      </c>
      <c r="G1066" s="5">
        <v>1273.7451686422</v>
      </c>
      <c r="H1066" s="10">
        <v>18</v>
      </c>
      <c r="I1066" s="2">
        <v>167.83156725778301</v>
      </c>
      <c r="J1066" t="s">
        <v>14</v>
      </c>
    </row>
    <row r="1067" spans="1:10" x14ac:dyDescent="0.25">
      <c r="A1067" t="s">
        <v>228</v>
      </c>
      <c r="B1067" s="1">
        <f t="shared" si="64"/>
        <v>45140</v>
      </c>
      <c r="C1067" s="1" t="str">
        <f t="shared" si="65"/>
        <v>Wednesday</v>
      </c>
      <c r="D1067" s="1" t="str">
        <f t="shared" si="66"/>
        <v>August</v>
      </c>
      <c r="E1067" s="1" t="str">
        <f t="shared" si="67"/>
        <v>2023</v>
      </c>
      <c r="F1067" t="s">
        <v>7</v>
      </c>
      <c r="G1067" s="5">
        <v>957.6128138171</v>
      </c>
      <c r="H1067" s="10">
        <v>4</v>
      </c>
      <c r="I1067" s="2">
        <v>214.458906313136</v>
      </c>
      <c r="J1067" t="s">
        <v>12</v>
      </c>
    </row>
    <row r="1068" spans="1:10" x14ac:dyDescent="0.25">
      <c r="A1068" t="s">
        <v>228</v>
      </c>
      <c r="B1068" s="1">
        <f t="shared" si="64"/>
        <v>45140</v>
      </c>
      <c r="C1068" s="1" t="str">
        <f t="shared" si="65"/>
        <v>Wednesday</v>
      </c>
      <c r="D1068" s="1" t="str">
        <f t="shared" si="66"/>
        <v>August</v>
      </c>
      <c r="E1068" s="1" t="str">
        <f t="shared" si="67"/>
        <v>2023</v>
      </c>
      <c r="F1068" t="s">
        <v>9</v>
      </c>
      <c r="G1068" s="5">
        <v>471.58996675880002</v>
      </c>
      <c r="H1068" s="10">
        <v>15</v>
      </c>
      <c r="I1068" s="2">
        <v>103.079094903292</v>
      </c>
      <c r="J1068" t="s">
        <v>14</v>
      </c>
    </row>
    <row r="1069" spans="1:10" x14ac:dyDescent="0.25">
      <c r="A1069" t="s">
        <v>228</v>
      </c>
      <c r="B1069" s="1">
        <f t="shared" si="64"/>
        <v>45140</v>
      </c>
      <c r="C1069" s="1" t="str">
        <f t="shared" si="65"/>
        <v>Wednesday</v>
      </c>
      <c r="D1069" s="1" t="str">
        <f t="shared" si="66"/>
        <v>August</v>
      </c>
      <c r="E1069" s="1" t="str">
        <f t="shared" si="67"/>
        <v>2023</v>
      </c>
      <c r="F1069" t="s">
        <v>11</v>
      </c>
      <c r="G1069" s="5">
        <v>189.97223151169999</v>
      </c>
      <c r="H1069" s="10">
        <v>8</v>
      </c>
      <c r="I1069" s="2">
        <v>160.27367145400899</v>
      </c>
      <c r="J1069" t="s">
        <v>14</v>
      </c>
    </row>
    <row r="1070" spans="1:10" x14ac:dyDescent="0.25">
      <c r="A1070" t="s">
        <v>228</v>
      </c>
      <c r="B1070" s="1">
        <f t="shared" si="64"/>
        <v>45140</v>
      </c>
      <c r="C1070" s="1" t="str">
        <f t="shared" si="65"/>
        <v>Wednesday</v>
      </c>
      <c r="D1070" s="1" t="str">
        <f t="shared" si="66"/>
        <v>August</v>
      </c>
      <c r="E1070" s="1" t="str">
        <f t="shared" si="67"/>
        <v>2023</v>
      </c>
      <c r="F1070" t="s">
        <v>13</v>
      </c>
      <c r="G1070" s="5">
        <v>129.72722777199999</v>
      </c>
      <c r="H1070" s="10">
        <v>2</v>
      </c>
      <c r="I1070" s="2">
        <v>275.05092026139801</v>
      </c>
      <c r="J1070" t="s">
        <v>12</v>
      </c>
    </row>
    <row r="1071" spans="1:10" x14ac:dyDescent="0.25">
      <c r="A1071" t="s">
        <v>228</v>
      </c>
      <c r="B1071" s="1">
        <f t="shared" si="64"/>
        <v>45140</v>
      </c>
      <c r="C1071" s="1" t="str">
        <f t="shared" si="65"/>
        <v>Wednesday</v>
      </c>
      <c r="D1071" s="1" t="str">
        <f t="shared" si="66"/>
        <v>August</v>
      </c>
      <c r="E1071" s="1" t="str">
        <f t="shared" si="67"/>
        <v>2023</v>
      </c>
      <c r="F1071" t="s">
        <v>16</v>
      </c>
      <c r="G1071" s="5">
        <v>544.88135296452003</v>
      </c>
      <c r="H1071" s="10">
        <v>8</v>
      </c>
      <c r="I1071" s="2">
        <v>136.59875556259499</v>
      </c>
      <c r="J1071" t="s">
        <v>10</v>
      </c>
    </row>
    <row r="1072" spans="1:10" x14ac:dyDescent="0.25">
      <c r="A1072" t="s">
        <v>229</v>
      </c>
      <c r="B1072" s="1">
        <f t="shared" si="64"/>
        <v>45141</v>
      </c>
      <c r="C1072" s="1" t="str">
        <f t="shared" si="65"/>
        <v>Thursday</v>
      </c>
      <c r="D1072" s="1" t="str">
        <f t="shared" si="66"/>
        <v>August</v>
      </c>
      <c r="E1072" s="1" t="str">
        <f t="shared" si="67"/>
        <v>2023</v>
      </c>
      <c r="F1072" t="s">
        <v>7</v>
      </c>
      <c r="G1072" s="5">
        <v>736.92864764930005</v>
      </c>
      <c r="H1072" s="10">
        <v>2</v>
      </c>
      <c r="I1072" s="2">
        <v>269.60583783342503</v>
      </c>
      <c r="J1072" t="s">
        <v>14</v>
      </c>
    </row>
    <row r="1073" spans="1:10" x14ac:dyDescent="0.25">
      <c r="A1073" t="s">
        <v>229</v>
      </c>
      <c r="B1073" s="1">
        <f t="shared" si="64"/>
        <v>45141</v>
      </c>
      <c r="C1073" s="1" t="str">
        <f t="shared" si="65"/>
        <v>Thursday</v>
      </c>
      <c r="D1073" s="1" t="str">
        <f t="shared" si="66"/>
        <v>August</v>
      </c>
      <c r="E1073" s="1" t="str">
        <f t="shared" si="67"/>
        <v>2023</v>
      </c>
      <c r="F1073" t="s">
        <v>9</v>
      </c>
      <c r="G1073" s="5">
        <v>665.56482858544996</v>
      </c>
      <c r="H1073" s="10">
        <v>12</v>
      </c>
      <c r="I1073" s="2">
        <v>249.53766764849399</v>
      </c>
      <c r="J1073" t="s">
        <v>12</v>
      </c>
    </row>
    <row r="1074" spans="1:10" x14ac:dyDescent="0.25">
      <c r="A1074" t="s">
        <v>229</v>
      </c>
      <c r="B1074" s="1">
        <f t="shared" si="64"/>
        <v>45141</v>
      </c>
      <c r="C1074" s="1" t="str">
        <f t="shared" si="65"/>
        <v>Thursday</v>
      </c>
      <c r="D1074" s="1" t="str">
        <f t="shared" si="66"/>
        <v>August</v>
      </c>
      <c r="E1074" s="1" t="str">
        <f t="shared" si="67"/>
        <v>2023</v>
      </c>
      <c r="F1074" t="s">
        <v>11</v>
      </c>
      <c r="G1074" s="5">
        <v>655.11124314755</v>
      </c>
      <c r="H1074" s="10">
        <v>10</v>
      </c>
      <c r="I1074" s="2">
        <v>127.384905896379</v>
      </c>
      <c r="J1074" t="s">
        <v>12</v>
      </c>
    </row>
    <row r="1075" spans="1:10" x14ac:dyDescent="0.25">
      <c r="A1075" t="s">
        <v>229</v>
      </c>
      <c r="B1075" s="1">
        <f t="shared" si="64"/>
        <v>45141</v>
      </c>
      <c r="C1075" s="1" t="str">
        <f t="shared" si="65"/>
        <v>Thursday</v>
      </c>
      <c r="D1075" s="1" t="str">
        <f t="shared" si="66"/>
        <v>August</v>
      </c>
      <c r="E1075" s="1" t="str">
        <f t="shared" si="67"/>
        <v>2023</v>
      </c>
      <c r="F1075" t="s">
        <v>13</v>
      </c>
      <c r="G1075" s="5">
        <v>74.821356698200006</v>
      </c>
      <c r="H1075" s="10">
        <v>5</v>
      </c>
      <c r="I1075" s="2">
        <v>235.61373026358899</v>
      </c>
      <c r="J1075" t="s">
        <v>10</v>
      </c>
    </row>
    <row r="1076" spans="1:10" x14ac:dyDescent="0.25">
      <c r="A1076" t="s">
        <v>229</v>
      </c>
      <c r="B1076" s="1">
        <f t="shared" si="64"/>
        <v>45141</v>
      </c>
      <c r="C1076" s="1" t="str">
        <f t="shared" si="65"/>
        <v>Thursday</v>
      </c>
      <c r="D1076" s="1" t="str">
        <f t="shared" si="66"/>
        <v>August</v>
      </c>
      <c r="E1076" s="1" t="str">
        <f t="shared" si="67"/>
        <v>2023</v>
      </c>
      <c r="F1076" t="s">
        <v>16</v>
      </c>
      <c r="G1076" s="5">
        <v>1232.5466482142999</v>
      </c>
      <c r="H1076" s="10">
        <v>13</v>
      </c>
      <c r="I1076" s="2">
        <v>366.57970422993901</v>
      </c>
      <c r="J1076" t="s">
        <v>12</v>
      </c>
    </row>
    <row r="1077" spans="1:10" x14ac:dyDescent="0.25">
      <c r="A1077" t="s">
        <v>230</v>
      </c>
      <c r="B1077" s="1">
        <f t="shared" si="64"/>
        <v>45142</v>
      </c>
      <c r="C1077" s="1" t="str">
        <f t="shared" si="65"/>
        <v>Friday</v>
      </c>
      <c r="D1077" s="1" t="str">
        <f t="shared" si="66"/>
        <v>August</v>
      </c>
      <c r="E1077" s="1" t="str">
        <f t="shared" si="67"/>
        <v>2023</v>
      </c>
      <c r="F1077" t="s">
        <v>7</v>
      </c>
      <c r="G1077" s="5">
        <v>1165.912257557</v>
      </c>
      <c r="H1077" s="10">
        <v>6</v>
      </c>
      <c r="I1077" s="2">
        <v>446.48886311974201</v>
      </c>
      <c r="J1077" t="s">
        <v>8</v>
      </c>
    </row>
    <row r="1078" spans="1:10" x14ac:dyDescent="0.25">
      <c r="A1078" t="s">
        <v>230</v>
      </c>
      <c r="B1078" s="1">
        <f t="shared" si="64"/>
        <v>45142</v>
      </c>
      <c r="C1078" s="1" t="str">
        <f t="shared" si="65"/>
        <v>Friday</v>
      </c>
      <c r="D1078" s="1" t="str">
        <f t="shared" si="66"/>
        <v>August</v>
      </c>
      <c r="E1078" s="1" t="str">
        <f t="shared" si="67"/>
        <v>2023</v>
      </c>
      <c r="F1078" t="s">
        <v>9</v>
      </c>
      <c r="G1078" s="5">
        <v>49.879889238540002</v>
      </c>
      <c r="H1078" s="10">
        <v>6</v>
      </c>
      <c r="I1078" s="2">
        <v>71.872618056908493</v>
      </c>
      <c r="J1078" t="s">
        <v>12</v>
      </c>
    </row>
    <row r="1079" spans="1:10" x14ac:dyDescent="0.25">
      <c r="A1079" t="s">
        <v>230</v>
      </c>
      <c r="B1079" s="1">
        <f t="shared" si="64"/>
        <v>45142</v>
      </c>
      <c r="C1079" s="1" t="str">
        <f t="shared" si="65"/>
        <v>Friday</v>
      </c>
      <c r="D1079" s="1" t="str">
        <f t="shared" si="66"/>
        <v>August</v>
      </c>
      <c r="E1079" s="1" t="str">
        <f t="shared" si="67"/>
        <v>2023</v>
      </c>
      <c r="F1079" t="s">
        <v>11</v>
      </c>
      <c r="G1079" s="5">
        <v>664.84461487899</v>
      </c>
      <c r="H1079" s="10">
        <v>15</v>
      </c>
      <c r="I1079" s="2">
        <v>163.02386713004501</v>
      </c>
      <c r="J1079" t="s">
        <v>14</v>
      </c>
    </row>
    <row r="1080" spans="1:10" x14ac:dyDescent="0.25">
      <c r="A1080" t="s">
        <v>230</v>
      </c>
      <c r="B1080" s="1">
        <f t="shared" si="64"/>
        <v>45142</v>
      </c>
      <c r="C1080" s="1" t="str">
        <f t="shared" si="65"/>
        <v>Friday</v>
      </c>
      <c r="D1080" s="1" t="str">
        <f t="shared" si="66"/>
        <v>August</v>
      </c>
      <c r="E1080" s="1" t="str">
        <f t="shared" si="67"/>
        <v>2023</v>
      </c>
      <c r="F1080" t="s">
        <v>13</v>
      </c>
      <c r="G1080" s="5">
        <v>1149.8233275837999</v>
      </c>
      <c r="H1080" s="10">
        <v>6</v>
      </c>
      <c r="I1080" s="2">
        <v>227.16295737087299</v>
      </c>
      <c r="J1080" t="s">
        <v>10</v>
      </c>
    </row>
    <row r="1081" spans="1:10" x14ac:dyDescent="0.25">
      <c r="A1081" t="s">
        <v>230</v>
      </c>
      <c r="B1081" s="1">
        <f t="shared" si="64"/>
        <v>45142</v>
      </c>
      <c r="C1081" s="1" t="str">
        <f t="shared" si="65"/>
        <v>Friday</v>
      </c>
      <c r="D1081" s="1" t="str">
        <f t="shared" si="66"/>
        <v>August</v>
      </c>
      <c r="E1081" s="1" t="str">
        <f t="shared" si="67"/>
        <v>2023</v>
      </c>
      <c r="F1081" t="s">
        <v>16</v>
      </c>
      <c r="G1081" s="5">
        <v>915.82699661655704</v>
      </c>
      <c r="H1081" s="10">
        <v>3</v>
      </c>
      <c r="I1081" s="2">
        <v>319.20823948097598</v>
      </c>
      <c r="J1081" t="s">
        <v>10</v>
      </c>
    </row>
    <row r="1082" spans="1:10" x14ac:dyDescent="0.25">
      <c r="A1082" t="s">
        <v>231</v>
      </c>
      <c r="B1082" s="1">
        <f t="shared" si="64"/>
        <v>45143</v>
      </c>
      <c r="C1082" s="1" t="str">
        <f t="shared" si="65"/>
        <v>Saturday</v>
      </c>
      <c r="D1082" s="1" t="str">
        <f t="shared" si="66"/>
        <v>August</v>
      </c>
      <c r="E1082" s="1" t="str">
        <f t="shared" si="67"/>
        <v>2023</v>
      </c>
      <c r="F1082" t="s">
        <v>7</v>
      </c>
      <c r="G1082" s="5">
        <v>1452.29676741</v>
      </c>
      <c r="H1082" s="10">
        <v>5</v>
      </c>
      <c r="I1082" s="2">
        <v>518.69628569999998</v>
      </c>
      <c r="J1082" t="s">
        <v>14</v>
      </c>
    </row>
    <row r="1083" spans="1:10" x14ac:dyDescent="0.25">
      <c r="A1083" t="s">
        <v>231</v>
      </c>
      <c r="B1083" s="1">
        <f t="shared" si="64"/>
        <v>45143</v>
      </c>
      <c r="C1083" s="1" t="str">
        <f t="shared" si="65"/>
        <v>Saturday</v>
      </c>
      <c r="D1083" s="1" t="str">
        <f t="shared" si="66"/>
        <v>August</v>
      </c>
      <c r="E1083" s="1" t="str">
        <f t="shared" si="67"/>
        <v>2023</v>
      </c>
      <c r="F1083" t="s">
        <v>9</v>
      </c>
      <c r="G1083" s="5">
        <v>792.354336376932</v>
      </c>
      <c r="H1083" s="10">
        <v>6</v>
      </c>
      <c r="I1083" s="2">
        <v>183.96253726172401</v>
      </c>
      <c r="J1083" t="s">
        <v>8</v>
      </c>
    </row>
    <row r="1084" spans="1:10" x14ac:dyDescent="0.25">
      <c r="A1084" t="s">
        <v>231</v>
      </c>
      <c r="B1084" s="1">
        <f t="shared" si="64"/>
        <v>45143</v>
      </c>
      <c r="C1084" s="1" t="str">
        <f t="shared" si="65"/>
        <v>Saturday</v>
      </c>
      <c r="D1084" s="1" t="str">
        <f t="shared" si="66"/>
        <v>August</v>
      </c>
      <c r="E1084" s="1" t="str">
        <f t="shared" si="67"/>
        <v>2023</v>
      </c>
      <c r="F1084" t="s">
        <v>11</v>
      </c>
      <c r="G1084" s="5">
        <v>144.91712645000001</v>
      </c>
      <c r="H1084" s="10">
        <v>11</v>
      </c>
      <c r="I1084" s="2">
        <v>331.79482540314899</v>
      </c>
      <c r="J1084" t="s">
        <v>12</v>
      </c>
    </row>
    <row r="1085" spans="1:10" x14ac:dyDescent="0.25">
      <c r="A1085" t="s">
        <v>231</v>
      </c>
      <c r="B1085" s="1">
        <f t="shared" si="64"/>
        <v>45143</v>
      </c>
      <c r="C1085" s="1" t="str">
        <f t="shared" si="65"/>
        <v>Saturday</v>
      </c>
      <c r="D1085" s="1" t="str">
        <f t="shared" si="66"/>
        <v>August</v>
      </c>
      <c r="E1085" s="1" t="str">
        <f t="shared" si="67"/>
        <v>2023</v>
      </c>
      <c r="F1085" t="s">
        <v>13</v>
      </c>
      <c r="G1085" s="5">
        <v>857.69636742895796</v>
      </c>
      <c r="H1085" s="10">
        <v>3</v>
      </c>
      <c r="I1085" s="2">
        <v>342.46687795566697</v>
      </c>
      <c r="J1085" t="s">
        <v>14</v>
      </c>
    </row>
    <row r="1086" spans="1:10" x14ac:dyDescent="0.25">
      <c r="A1086" t="s">
        <v>231</v>
      </c>
      <c r="B1086" s="1">
        <f t="shared" si="64"/>
        <v>45143</v>
      </c>
      <c r="C1086" s="1" t="str">
        <f t="shared" si="65"/>
        <v>Saturday</v>
      </c>
      <c r="D1086" s="1" t="str">
        <f t="shared" si="66"/>
        <v>August</v>
      </c>
      <c r="E1086" s="1" t="str">
        <f t="shared" si="67"/>
        <v>2023</v>
      </c>
      <c r="F1086" t="s">
        <v>16</v>
      </c>
      <c r="G1086" s="5">
        <v>1384.7942234679999</v>
      </c>
      <c r="H1086" s="10">
        <v>17</v>
      </c>
      <c r="I1086" s="2">
        <v>264.96097324059099</v>
      </c>
      <c r="J1086" t="s">
        <v>8</v>
      </c>
    </row>
    <row r="1087" spans="1:10" x14ac:dyDescent="0.25">
      <c r="A1087" t="s">
        <v>232</v>
      </c>
      <c r="B1087" s="1">
        <f t="shared" si="64"/>
        <v>45144</v>
      </c>
      <c r="C1087" s="1" t="str">
        <f t="shared" si="65"/>
        <v>Sunday</v>
      </c>
      <c r="D1087" s="1" t="str">
        <f t="shared" si="66"/>
        <v>August</v>
      </c>
      <c r="E1087" s="1" t="str">
        <f t="shared" si="67"/>
        <v>2023</v>
      </c>
      <c r="F1087" t="s">
        <v>7</v>
      </c>
      <c r="G1087" s="5">
        <v>1326.3219529712001</v>
      </c>
      <c r="H1087" s="10">
        <v>10</v>
      </c>
      <c r="I1087" s="2">
        <v>380.42364829816898</v>
      </c>
      <c r="J1087" t="s">
        <v>10</v>
      </c>
    </row>
    <row r="1088" spans="1:10" x14ac:dyDescent="0.25">
      <c r="A1088" t="s">
        <v>232</v>
      </c>
      <c r="B1088" s="1">
        <f t="shared" si="64"/>
        <v>45144</v>
      </c>
      <c r="C1088" s="1" t="str">
        <f t="shared" si="65"/>
        <v>Sunday</v>
      </c>
      <c r="D1088" s="1" t="str">
        <f t="shared" si="66"/>
        <v>August</v>
      </c>
      <c r="E1088" s="1" t="str">
        <f t="shared" si="67"/>
        <v>2023</v>
      </c>
      <c r="F1088" t="s">
        <v>9</v>
      </c>
      <c r="G1088" s="5">
        <v>968.58622412397995</v>
      </c>
      <c r="H1088" s="10">
        <v>2</v>
      </c>
      <c r="I1088" s="2">
        <v>146.52858527312799</v>
      </c>
      <c r="J1088" t="s">
        <v>14</v>
      </c>
    </row>
    <row r="1089" spans="1:10" x14ac:dyDescent="0.25">
      <c r="A1089" t="s">
        <v>232</v>
      </c>
      <c r="B1089" s="1">
        <f t="shared" si="64"/>
        <v>45144</v>
      </c>
      <c r="C1089" s="1" t="str">
        <f t="shared" si="65"/>
        <v>Sunday</v>
      </c>
      <c r="D1089" s="1" t="str">
        <f t="shared" si="66"/>
        <v>August</v>
      </c>
      <c r="E1089" s="1" t="str">
        <f t="shared" si="67"/>
        <v>2023</v>
      </c>
      <c r="F1089" t="s">
        <v>11</v>
      </c>
      <c r="G1089" s="5">
        <v>188.95596171528001</v>
      </c>
      <c r="H1089" s="10">
        <v>15</v>
      </c>
      <c r="I1089" s="2">
        <v>61.8235359960998</v>
      </c>
      <c r="J1089" t="s">
        <v>12</v>
      </c>
    </row>
    <row r="1090" spans="1:10" x14ac:dyDescent="0.25">
      <c r="A1090" t="s">
        <v>232</v>
      </c>
      <c r="B1090" s="1">
        <f t="shared" si="64"/>
        <v>45144</v>
      </c>
      <c r="C1090" s="1" t="str">
        <f t="shared" si="65"/>
        <v>Sunday</v>
      </c>
      <c r="D1090" s="1" t="str">
        <f t="shared" si="66"/>
        <v>August</v>
      </c>
      <c r="E1090" s="1" t="str">
        <f t="shared" si="67"/>
        <v>2023</v>
      </c>
      <c r="F1090" t="s">
        <v>13</v>
      </c>
      <c r="G1090" s="5">
        <v>1282.85385151981</v>
      </c>
      <c r="H1090" s="10">
        <v>9</v>
      </c>
      <c r="I1090" s="2">
        <v>148.448497753976</v>
      </c>
      <c r="J1090" t="s">
        <v>10</v>
      </c>
    </row>
    <row r="1091" spans="1:10" x14ac:dyDescent="0.25">
      <c r="A1091" t="s">
        <v>232</v>
      </c>
      <c r="B1091" s="1">
        <f t="shared" ref="B1091:B1154" si="68">DATE(VALUE(RIGHT(A1091,4)),VALUE(LEFT(A1091,FIND("/",A1091)-1)),VALUE(MID(A1091,FIND("/",A1091)+1,FIND("/",A1091,FIND("/",A1091)+1)-FIND("/",A1091)-1)))</f>
        <v>45144</v>
      </c>
      <c r="C1091" s="1" t="str">
        <f t="shared" ref="C1091:C1154" si="69">TEXT(B1091,"DDDD")</f>
        <v>Sunday</v>
      </c>
      <c r="D1091" s="1" t="str">
        <f t="shared" ref="D1091:D1154" si="70">TEXT(B1091,"MMMM")</f>
        <v>August</v>
      </c>
      <c r="E1091" s="1" t="str">
        <f t="shared" ref="E1091:E1154" si="71">TEXT(B1091,"YYYY")</f>
        <v>2023</v>
      </c>
      <c r="F1091" t="s">
        <v>16</v>
      </c>
      <c r="G1091" s="5">
        <v>1333.1469397428</v>
      </c>
      <c r="H1091" s="10">
        <v>16</v>
      </c>
      <c r="I1091" s="2">
        <v>198.506933147674</v>
      </c>
      <c r="J1091" t="s">
        <v>10</v>
      </c>
    </row>
    <row r="1092" spans="1:10" x14ac:dyDescent="0.25">
      <c r="A1092" t="s">
        <v>233</v>
      </c>
      <c r="B1092" s="1">
        <f t="shared" si="68"/>
        <v>45145</v>
      </c>
      <c r="C1092" s="1" t="str">
        <f t="shared" si="69"/>
        <v>Monday</v>
      </c>
      <c r="D1092" s="1" t="str">
        <f t="shared" si="70"/>
        <v>August</v>
      </c>
      <c r="E1092" s="1" t="str">
        <f t="shared" si="71"/>
        <v>2023</v>
      </c>
      <c r="F1092" t="s">
        <v>7</v>
      </c>
      <c r="G1092" s="5">
        <v>119.87121261367</v>
      </c>
      <c r="H1092" s="10">
        <v>13</v>
      </c>
      <c r="I1092" s="2">
        <v>227.909774297105</v>
      </c>
      <c r="J1092" t="s">
        <v>8</v>
      </c>
    </row>
    <row r="1093" spans="1:10" x14ac:dyDescent="0.25">
      <c r="A1093" t="s">
        <v>233</v>
      </c>
      <c r="B1093" s="1">
        <f t="shared" si="68"/>
        <v>45145</v>
      </c>
      <c r="C1093" s="1" t="str">
        <f t="shared" si="69"/>
        <v>Monday</v>
      </c>
      <c r="D1093" s="1" t="str">
        <f t="shared" si="70"/>
        <v>August</v>
      </c>
      <c r="E1093" s="1" t="str">
        <f t="shared" si="71"/>
        <v>2023</v>
      </c>
      <c r="F1093" t="s">
        <v>9</v>
      </c>
      <c r="G1093" s="5">
        <v>846.79141973750995</v>
      </c>
      <c r="H1093" s="10">
        <v>2</v>
      </c>
      <c r="I1093" s="2">
        <v>320.03562016490702</v>
      </c>
      <c r="J1093" t="s">
        <v>12</v>
      </c>
    </row>
    <row r="1094" spans="1:10" x14ac:dyDescent="0.25">
      <c r="A1094" t="s">
        <v>233</v>
      </c>
      <c r="B1094" s="1">
        <f t="shared" si="68"/>
        <v>45145</v>
      </c>
      <c r="C1094" s="1" t="str">
        <f t="shared" si="69"/>
        <v>Monday</v>
      </c>
      <c r="D1094" s="1" t="str">
        <f t="shared" si="70"/>
        <v>August</v>
      </c>
      <c r="E1094" s="1" t="str">
        <f t="shared" si="71"/>
        <v>2023</v>
      </c>
      <c r="F1094" t="s">
        <v>11</v>
      </c>
      <c r="G1094" s="5">
        <v>952.52835578819997</v>
      </c>
      <c r="H1094" s="10">
        <v>3</v>
      </c>
      <c r="I1094" s="2">
        <v>103.439693835168</v>
      </c>
      <c r="J1094" t="s">
        <v>12</v>
      </c>
    </row>
    <row r="1095" spans="1:10" x14ac:dyDescent="0.25">
      <c r="A1095" t="s">
        <v>233</v>
      </c>
      <c r="B1095" s="1">
        <f t="shared" si="68"/>
        <v>45145</v>
      </c>
      <c r="C1095" s="1" t="str">
        <f t="shared" si="69"/>
        <v>Monday</v>
      </c>
      <c r="D1095" s="1" t="str">
        <f t="shared" si="70"/>
        <v>August</v>
      </c>
      <c r="E1095" s="1" t="str">
        <f t="shared" si="71"/>
        <v>2023</v>
      </c>
      <c r="F1095" t="s">
        <v>13</v>
      </c>
      <c r="G1095" s="5">
        <v>992.25364448549203</v>
      </c>
      <c r="H1095" s="10">
        <v>16</v>
      </c>
      <c r="I1095" s="2">
        <v>102.589859385265</v>
      </c>
      <c r="J1095" t="s">
        <v>14</v>
      </c>
    </row>
    <row r="1096" spans="1:10" x14ac:dyDescent="0.25">
      <c r="A1096" t="s">
        <v>233</v>
      </c>
      <c r="B1096" s="1">
        <f t="shared" si="68"/>
        <v>45145</v>
      </c>
      <c r="C1096" s="1" t="str">
        <f t="shared" si="69"/>
        <v>Monday</v>
      </c>
      <c r="D1096" s="1" t="str">
        <f t="shared" si="70"/>
        <v>August</v>
      </c>
      <c r="E1096" s="1" t="str">
        <f t="shared" si="71"/>
        <v>2023</v>
      </c>
      <c r="F1096" t="s">
        <v>16</v>
      </c>
      <c r="G1096" s="5">
        <v>67.281153828550003</v>
      </c>
      <c r="H1096" s="10">
        <v>10</v>
      </c>
      <c r="I1096" s="2">
        <v>185.33653704429599</v>
      </c>
      <c r="J1096" t="s">
        <v>8</v>
      </c>
    </row>
    <row r="1097" spans="1:10" x14ac:dyDescent="0.25">
      <c r="A1097" t="s">
        <v>234</v>
      </c>
      <c r="B1097" s="1">
        <f t="shared" si="68"/>
        <v>45146</v>
      </c>
      <c r="C1097" s="1" t="str">
        <f t="shared" si="69"/>
        <v>Tuesday</v>
      </c>
      <c r="D1097" s="1" t="str">
        <f t="shared" si="70"/>
        <v>August</v>
      </c>
      <c r="E1097" s="1" t="str">
        <f t="shared" si="71"/>
        <v>2023</v>
      </c>
      <c r="F1097" t="s">
        <v>7</v>
      </c>
      <c r="G1097" s="5">
        <v>756.3745241693</v>
      </c>
      <c r="H1097" s="10">
        <v>4</v>
      </c>
      <c r="I1097" s="2">
        <v>296.60479823213899</v>
      </c>
      <c r="J1097" t="s">
        <v>12</v>
      </c>
    </row>
    <row r="1098" spans="1:10" x14ac:dyDescent="0.25">
      <c r="A1098" t="s">
        <v>234</v>
      </c>
      <c r="B1098" s="1">
        <f t="shared" si="68"/>
        <v>45146</v>
      </c>
      <c r="C1098" s="1" t="str">
        <f t="shared" si="69"/>
        <v>Tuesday</v>
      </c>
      <c r="D1098" s="1" t="str">
        <f t="shared" si="70"/>
        <v>August</v>
      </c>
      <c r="E1098" s="1" t="str">
        <f t="shared" si="71"/>
        <v>2023</v>
      </c>
      <c r="F1098" t="s">
        <v>9</v>
      </c>
      <c r="G1098" s="5">
        <v>117.33239245</v>
      </c>
      <c r="H1098" s="10">
        <v>15</v>
      </c>
      <c r="I1098" s="2">
        <v>184.59250668356799</v>
      </c>
      <c r="J1098" t="s">
        <v>10</v>
      </c>
    </row>
    <row r="1099" spans="1:10" x14ac:dyDescent="0.25">
      <c r="A1099" t="s">
        <v>234</v>
      </c>
      <c r="B1099" s="1">
        <f t="shared" si="68"/>
        <v>45146</v>
      </c>
      <c r="C1099" s="1" t="str">
        <f t="shared" si="69"/>
        <v>Tuesday</v>
      </c>
      <c r="D1099" s="1" t="str">
        <f t="shared" si="70"/>
        <v>August</v>
      </c>
      <c r="E1099" s="1" t="str">
        <f t="shared" si="71"/>
        <v>2023</v>
      </c>
      <c r="F1099" t="s">
        <v>11</v>
      </c>
      <c r="G1099" s="5">
        <v>785.29899588477997</v>
      </c>
      <c r="H1099" s="10">
        <v>15</v>
      </c>
      <c r="I1099" s="2">
        <v>199.430547702235</v>
      </c>
      <c r="J1099" t="s">
        <v>10</v>
      </c>
    </row>
    <row r="1100" spans="1:10" x14ac:dyDescent="0.25">
      <c r="A1100" t="s">
        <v>234</v>
      </c>
      <c r="B1100" s="1">
        <f t="shared" si="68"/>
        <v>45146</v>
      </c>
      <c r="C1100" s="1" t="str">
        <f t="shared" si="69"/>
        <v>Tuesday</v>
      </c>
      <c r="D1100" s="1" t="str">
        <f t="shared" si="70"/>
        <v>August</v>
      </c>
      <c r="E1100" s="1" t="str">
        <f t="shared" si="71"/>
        <v>2023</v>
      </c>
      <c r="F1100" t="s">
        <v>13</v>
      </c>
      <c r="G1100" s="5">
        <v>97.271799276189995</v>
      </c>
      <c r="H1100" s="10">
        <v>11</v>
      </c>
      <c r="I1100" s="2">
        <v>331.536644187072</v>
      </c>
      <c r="J1100" t="s">
        <v>8</v>
      </c>
    </row>
    <row r="1101" spans="1:10" x14ac:dyDescent="0.25">
      <c r="A1101" t="s">
        <v>234</v>
      </c>
      <c r="B1101" s="1">
        <f t="shared" si="68"/>
        <v>45146</v>
      </c>
      <c r="C1101" s="1" t="str">
        <f t="shared" si="69"/>
        <v>Tuesday</v>
      </c>
      <c r="D1101" s="1" t="str">
        <f t="shared" si="70"/>
        <v>August</v>
      </c>
      <c r="E1101" s="1" t="str">
        <f t="shared" si="71"/>
        <v>2023</v>
      </c>
      <c r="F1101" t="s">
        <v>16</v>
      </c>
      <c r="G1101" s="5">
        <v>819.15383264810998</v>
      </c>
      <c r="H1101" s="10">
        <v>17</v>
      </c>
      <c r="I1101" s="2">
        <v>137.47343958354401</v>
      </c>
      <c r="J1101" t="s">
        <v>8</v>
      </c>
    </row>
    <row r="1102" spans="1:10" x14ac:dyDescent="0.25">
      <c r="A1102" t="s">
        <v>235</v>
      </c>
      <c r="B1102" s="1">
        <f t="shared" si="68"/>
        <v>45147</v>
      </c>
      <c r="C1102" s="1" t="str">
        <f t="shared" si="69"/>
        <v>Wednesday</v>
      </c>
      <c r="D1102" s="1" t="str">
        <f t="shared" si="70"/>
        <v>August</v>
      </c>
      <c r="E1102" s="1" t="str">
        <f t="shared" si="71"/>
        <v>2023</v>
      </c>
      <c r="F1102" t="s">
        <v>7</v>
      </c>
      <c r="G1102" s="5">
        <v>567.44667228599997</v>
      </c>
      <c r="H1102" s="10">
        <v>16</v>
      </c>
      <c r="I1102" s="2">
        <v>113.262065392406</v>
      </c>
      <c r="J1102" t="s">
        <v>10</v>
      </c>
    </row>
    <row r="1103" spans="1:10" x14ac:dyDescent="0.25">
      <c r="A1103" t="s">
        <v>235</v>
      </c>
      <c r="B1103" s="1">
        <f t="shared" si="68"/>
        <v>45147</v>
      </c>
      <c r="C1103" s="1" t="str">
        <f t="shared" si="69"/>
        <v>Wednesday</v>
      </c>
      <c r="D1103" s="1" t="str">
        <f t="shared" si="70"/>
        <v>August</v>
      </c>
      <c r="E1103" s="1" t="str">
        <f t="shared" si="71"/>
        <v>2023</v>
      </c>
      <c r="F1103" t="s">
        <v>9</v>
      </c>
      <c r="G1103" s="5">
        <v>1257.1992296681799</v>
      </c>
      <c r="H1103" s="10">
        <v>13</v>
      </c>
      <c r="I1103" s="2">
        <v>454.08799650403802</v>
      </c>
      <c r="J1103" t="s">
        <v>8</v>
      </c>
    </row>
    <row r="1104" spans="1:10" x14ac:dyDescent="0.25">
      <c r="A1104" t="s">
        <v>235</v>
      </c>
      <c r="B1104" s="1">
        <f t="shared" si="68"/>
        <v>45147</v>
      </c>
      <c r="C1104" s="1" t="str">
        <f t="shared" si="69"/>
        <v>Wednesday</v>
      </c>
      <c r="D1104" s="1" t="str">
        <f t="shared" si="70"/>
        <v>August</v>
      </c>
      <c r="E1104" s="1" t="str">
        <f t="shared" si="71"/>
        <v>2023</v>
      </c>
      <c r="F1104" t="s">
        <v>11</v>
      </c>
      <c r="G1104" s="5">
        <v>42.349851242184997</v>
      </c>
      <c r="H1104" s="10">
        <v>4</v>
      </c>
      <c r="I1104" s="2">
        <v>129.52730392289399</v>
      </c>
      <c r="J1104" t="s">
        <v>14</v>
      </c>
    </row>
    <row r="1105" spans="1:10" x14ac:dyDescent="0.25">
      <c r="A1105" t="s">
        <v>235</v>
      </c>
      <c r="B1105" s="1">
        <f t="shared" si="68"/>
        <v>45147</v>
      </c>
      <c r="C1105" s="1" t="str">
        <f t="shared" si="69"/>
        <v>Wednesday</v>
      </c>
      <c r="D1105" s="1" t="str">
        <f t="shared" si="70"/>
        <v>August</v>
      </c>
      <c r="E1105" s="1" t="str">
        <f t="shared" si="71"/>
        <v>2023</v>
      </c>
      <c r="F1105" t="s">
        <v>13</v>
      </c>
      <c r="G1105" s="5">
        <v>797.35564688821</v>
      </c>
      <c r="H1105" s="10">
        <v>19</v>
      </c>
      <c r="I1105" s="2">
        <v>131.46413860000001</v>
      </c>
      <c r="J1105" t="s">
        <v>8</v>
      </c>
    </row>
    <row r="1106" spans="1:10" x14ac:dyDescent="0.25">
      <c r="A1106" t="s">
        <v>235</v>
      </c>
      <c r="B1106" s="1">
        <f t="shared" si="68"/>
        <v>45147</v>
      </c>
      <c r="C1106" s="1" t="str">
        <f t="shared" si="69"/>
        <v>Wednesday</v>
      </c>
      <c r="D1106" s="1" t="str">
        <f t="shared" si="70"/>
        <v>August</v>
      </c>
      <c r="E1106" s="1" t="str">
        <f t="shared" si="71"/>
        <v>2023</v>
      </c>
      <c r="F1106" t="s">
        <v>16</v>
      </c>
      <c r="G1106" s="5">
        <v>1182.5326284225</v>
      </c>
      <c r="H1106" s="10">
        <v>6</v>
      </c>
      <c r="I1106" s="2">
        <v>241.198373640737</v>
      </c>
      <c r="J1106" t="s">
        <v>12</v>
      </c>
    </row>
    <row r="1107" spans="1:10" x14ac:dyDescent="0.25">
      <c r="A1107" t="s">
        <v>236</v>
      </c>
      <c r="B1107" s="1">
        <f t="shared" si="68"/>
        <v>45148</v>
      </c>
      <c r="C1107" s="1" t="str">
        <f t="shared" si="69"/>
        <v>Thursday</v>
      </c>
      <c r="D1107" s="1" t="str">
        <f t="shared" si="70"/>
        <v>August</v>
      </c>
      <c r="E1107" s="1" t="str">
        <f t="shared" si="71"/>
        <v>2023</v>
      </c>
      <c r="F1107" t="s">
        <v>7</v>
      </c>
      <c r="G1107" s="5">
        <v>1214.295687629</v>
      </c>
      <c r="H1107" s="10">
        <v>16</v>
      </c>
      <c r="I1107" s="2">
        <v>183.83038630196299</v>
      </c>
      <c r="J1107" t="s">
        <v>12</v>
      </c>
    </row>
    <row r="1108" spans="1:10" x14ac:dyDescent="0.25">
      <c r="A1108" t="s">
        <v>236</v>
      </c>
      <c r="B1108" s="1">
        <f t="shared" si="68"/>
        <v>45148</v>
      </c>
      <c r="C1108" s="1" t="str">
        <f t="shared" si="69"/>
        <v>Thursday</v>
      </c>
      <c r="D1108" s="1" t="str">
        <f t="shared" si="70"/>
        <v>August</v>
      </c>
      <c r="E1108" s="1" t="str">
        <f t="shared" si="71"/>
        <v>2023</v>
      </c>
      <c r="F1108" t="s">
        <v>9</v>
      </c>
      <c r="G1108" s="5">
        <v>971.12898995532998</v>
      </c>
      <c r="H1108" s="10">
        <v>2</v>
      </c>
      <c r="I1108" s="2">
        <v>153.44975383926399</v>
      </c>
      <c r="J1108" t="s">
        <v>12</v>
      </c>
    </row>
    <row r="1109" spans="1:10" x14ac:dyDescent="0.25">
      <c r="A1109" t="s">
        <v>236</v>
      </c>
      <c r="B1109" s="1">
        <f t="shared" si="68"/>
        <v>45148</v>
      </c>
      <c r="C1109" s="1" t="str">
        <f t="shared" si="69"/>
        <v>Thursday</v>
      </c>
      <c r="D1109" s="1" t="str">
        <f t="shared" si="70"/>
        <v>August</v>
      </c>
      <c r="E1109" s="1" t="str">
        <f t="shared" si="71"/>
        <v>2023</v>
      </c>
      <c r="F1109" t="s">
        <v>11</v>
      </c>
      <c r="G1109" s="5">
        <v>875.29921615792</v>
      </c>
      <c r="H1109" s="10">
        <v>4</v>
      </c>
      <c r="I1109" s="2">
        <v>320.17439831343501</v>
      </c>
      <c r="J1109" t="s">
        <v>14</v>
      </c>
    </row>
    <row r="1110" spans="1:10" x14ac:dyDescent="0.25">
      <c r="A1110" t="s">
        <v>236</v>
      </c>
      <c r="B1110" s="1">
        <f t="shared" si="68"/>
        <v>45148</v>
      </c>
      <c r="C1110" s="1" t="str">
        <f t="shared" si="69"/>
        <v>Thursday</v>
      </c>
      <c r="D1110" s="1" t="str">
        <f t="shared" si="70"/>
        <v>August</v>
      </c>
      <c r="E1110" s="1" t="str">
        <f t="shared" si="71"/>
        <v>2023</v>
      </c>
      <c r="F1110" t="s">
        <v>13</v>
      </c>
      <c r="G1110" s="5">
        <v>778.95948843585995</v>
      </c>
      <c r="H1110" s="10">
        <v>19</v>
      </c>
      <c r="I1110" s="2">
        <v>174.01268833808101</v>
      </c>
      <c r="J1110" t="s">
        <v>12</v>
      </c>
    </row>
    <row r="1111" spans="1:10" x14ac:dyDescent="0.25">
      <c r="A1111" t="s">
        <v>236</v>
      </c>
      <c r="B1111" s="1">
        <f t="shared" si="68"/>
        <v>45148</v>
      </c>
      <c r="C1111" s="1" t="str">
        <f t="shared" si="69"/>
        <v>Thursday</v>
      </c>
      <c r="D1111" s="1" t="str">
        <f t="shared" si="70"/>
        <v>August</v>
      </c>
      <c r="E1111" s="1" t="str">
        <f t="shared" si="71"/>
        <v>2023</v>
      </c>
      <c r="F1111" t="s">
        <v>16</v>
      </c>
      <c r="G1111" s="5">
        <v>889.98535588293998</v>
      </c>
      <c r="H1111" s="10">
        <v>15</v>
      </c>
      <c r="I1111" s="2">
        <v>300.06241369636399</v>
      </c>
      <c r="J1111" t="s">
        <v>14</v>
      </c>
    </row>
    <row r="1112" spans="1:10" x14ac:dyDescent="0.25">
      <c r="A1112" t="s">
        <v>237</v>
      </c>
      <c r="B1112" s="1">
        <f t="shared" si="68"/>
        <v>45149</v>
      </c>
      <c r="C1112" s="1" t="str">
        <f t="shared" si="69"/>
        <v>Friday</v>
      </c>
      <c r="D1112" s="1" t="str">
        <f t="shared" si="70"/>
        <v>August</v>
      </c>
      <c r="E1112" s="1" t="str">
        <f t="shared" si="71"/>
        <v>2023</v>
      </c>
      <c r="F1112" t="s">
        <v>7</v>
      </c>
      <c r="G1112" s="5">
        <v>1293.5266336841</v>
      </c>
      <c r="H1112" s="10">
        <v>18</v>
      </c>
      <c r="I1112" s="2">
        <v>146.929611722836</v>
      </c>
      <c r="J1112" t="s">
        <v>10</v>
      </c>
    </row>
    <row r="1113" spans="1:10" x14ac:dyDescent="0.25">
      <c r="A1113" t="s">
        <v>237</v>
      </c>
      <c r="B1113" s="1">
        <f t="shared" si="68"/>
        <v>45149</v>
      </c>
      <c r="C1113" s="1" t="str">
        <f t="shared" si="69"/>
        <v>Friday</v>
      </c>
      <c r="D1113" s="1" t="str">
        <f t="shared" si="70"/>
        <v>August</v>
      </c>
      <c r="E1113" s="1" t="str">
        <f t="shared" si="71"/>
        <v>2023</v>
      </c>
      <c r="F1113" t="s">
        <v>9</v>
      </c>
      <c r="G1113" s="5">
        <v>1156.6427637818001</v>
      </c>
      <c r="H1113" s="10">
        <v>11</v>
      </c>
      <c r="I1113" s="2">
        <v>240.74634474778401</v>
      </c>
      <c r="J1113" t="s">
        <v>12</v>
      </c>
    </row>
    <row r="1114" spans="1:10" x14ac:dyDescent="0.25">
      <c r="A1114" t="s">
        <v>237</v>
      </c>
      <c r="B1114" s="1">
        <f t="shared" si="68"/>
        <v>45149</v>
      </c>
      <c r="C1114" s="1" t="str">
        <f t="shared" si="69"/>
        <v>Friday</v>
      </c>
      <c r="D1114" s="1" t="str">
        <f t="shared" si="70"/>
        <v>August</v>
      </c>
      <c r="E1114" s="1" t="str">
        <f t="shared" si="71"/>
        <v>2023</v>
      </c>
      <c r="F1114" t="s">
        <v>11</v>
      </c>
      <c r="G1114" s="5">
        <v>983.55657972999995</v>
      </c>
      <c r="H1114" s="10">
        <v>7</v>
      </c>
      <c r="I1114" s="2">
        <v>132.954272345975</v>
      </c>
      <c r="J1114" t="s">
        <v>12</v>
      </c>
    </row>
    <row r="1115" spans="1:10" x14ac:dyDescent="0.25">
      <c r="A1115" t="s">
        <v>237</v>
      </c>
      <c r="B1115" s="1">
        <f t="shared" si="68"/>
        <v>45149</v>
      </c>
      <c r="C1115" s="1" t="str">
        <f t="shared" si="69"/>
        <v>Friday</v>
      </c>
      <c r="D1115" s="1" t="str">
        <f t="shared" si="70"/>
        <v>August</v>
      </c>
      <c r="E1115" s="1" t="str">
        <f t="shared" si="71"/>
        <v>2023</v>
      </c>
      <c r="F1115" t="s">
        <v>13</v>
      </c>
      <c r="G1115" s="5">
        <v>86.253376324116999</v>
      </c>
      <c r="H1115" s="10">
        <v>3</v>
      </c>
      <c r="I1115" s="2">
        <v>235.14347738512399</v>
      </c>
      <c r="J1115" t="s">
        <v>8</v>
      </c>
    </row>
    <row r="1116" spans="1:10" x14ac:dyDescent="0.25">
      <c r="A1116" t="s">
        <v>237</v>
      </c>
      <c r="B1116" s="1">
        <f t="shared" si="68"/>
        <v>45149</v>
      </c>
      <c r="C1116" s="1" t="str">
        <f t="shared" si="69"/>
        <v>Friday</v>
      </c>
      <c r="D1116" s="1" t="str">
        <f t="shared" si="70"/>
        <v>August</v>
      </c>
      <c r="E1116" s="1" t="str">
        <f t="shared" si="71"/>
        <v>2023</v>
      </c>
      <c r="F1116" t="s">
        <v>16</v>
      </c>
      <c r="G1116" s="5">
        <v>889.95172278760003</v>
      </c>
      <c r="H1116" s="10">
        <v>10</v>
      </c>
      <c r="I1116" s="2">
        <v>203.127859015393</v>
      </c>
      <c r="J1116" t="s">
        <v>14</v>
      </c>
    </row>
    <row r="1117" spans="1:10" x14ac:dyDescent="0.25">
      <c r="A1117" t="s">
        <v>238</v>
      </c>
      <c r="B1117" s="1">
        <f t="shared" si="68"/>
        <v>45150</v>
      </c>
      <c r="C1117" s="1" t="str">
        <f t="shared" si="69"/>
        <v>Saturday</v>
      </c>
      <c r="D1117" s="1" t="str">
        <f t="shared" si="70"/>
        <v>August</v>
      </c>
      <c r="E1117" s="1" t="str">
        <f t="shared" si="71"/>
        <v>2023</v>
      </c>
      <c r="F1117" t="s">
        <v>7</v>
      </c>
      <c r="G1117" s="5">
        <v>1449.3329623725999</v>
      </c>
      <c r="H1117" s="10">
        <v>17</v>
      </c>
      <c r="I1117" s="2">
        <v>362.64235106781803</v>
      </c>
      <c r="J1117" t="s">
        <v>14</v>
      </c>
    </row>
    <row r="1118" spans="1:10" x14ac:dyDescent="0.25">
      <c r="A1118" t="s">
        <v>238</v>
      </c>
      <c r="B1118" s="1">
        <f t="shared" si="68"/>
        <v>45150</v>
      </c>
      <c r="C1118" s="1" t="str">
        <f t="shared" si="69"/>
        <v>Saturday</v>
      </c>
      <c r="D1118" s="1" t="str">
        <f t="shared" si="70"/>
        <v>August</v>
      </c>
      <c r="E1118" s="1" t="str">
        <f t="shared" si="71"/>
        <v>2023</v>
      </c>
      <c r="F1118" t="s">
        <v>9</v>
      </c>
      <c r="G1118" s="5">
        <v>1278.413521317</v>
      </c>
      <c r="H1118" s="10">
        <v>4</v>
      </c>
      <c r="I1118" s="2">
        <v>359.18005826968499</v>
      </c>
      <c r="J1118" t="s">
        <v>10</v>
      </c>
    </row>
    <row r="1119" spans="1:10" x14ac:dyDescent="0.25">
      <c r="A1119" t="s">
        <v>238</v>
      </c>
      <c r="B1119" s="1">
        <f t="shared" si="68"/>
        <v>45150</v>
      </c>
      <c r="C1119" s="1" t="str">
        <f t="shared" si="69"/>
        <v>Saturday</v>
      </c>
      <c r="D1119" s="1" t="str">
        <f t="shared" si="70"/>
        <v>August</v>
      </c>
      <c r="E1119" s="1" t="str">
        <f t="shared" si="71"/>
        <v>2023</v>
      </c>
      <c r="F1119" t="s">
        <v>11</v>
      </c>
      <c r="G1119" s="5">
        <v>1162.8485538120001</v>
      </c>
      <c r="H1119" s="10">
        <v>18</v>
      </c>
      <c r="I1119" s="2">
        <v>204.748823969412</v>
      </c>
      <c r="J1119" t="s">
        <v>8</v>
      </c>
    </row>
    <row r="1120" spans="1:10" x14ac:dyDescent="0.25">
      <c r="A1120" t="s">
        <v>238</v>
      </c>
      <c r="B1120" s="1">
        <f t="shared" si="68"/>
        <v>45150</v>
      </c>
      <c r="C1120" s="1" t="str">
        <f t="shared" si="69"/>
        <v>Saturday</v>
      </c>
      <c r="D1120" s="1" t="str">
        <f t="shared" si="70"/>
        <v>August</v>
      </c>
      <c r="E1120" s="1" t="str">
        <f t="shared" si="71"/>
        <v>2023</v>
      </c>
      <c r="F1120" t="s">
        <v>13</v>
      </c>
      <c r="G1120" s="5">
        <v>714.35857783599999</v>
      </c>
      <c r="H1120" s="10">
        <v>10</v>
      </c>
      <c r="I1120" s="2">
        <v>241.03443831749601</v>
      </c>
      <c r="J1120" t="s">
        <v>12</v>
      </c>
    </row>
    <row r="1121" spans="1:10" x14ac:dyDescent="0.25">
      <c r="A1121" t="s">
        <v>238</v>
      </c>
      <c r="B1121" s="1">
        <f t="shared" si="68"/>
        <v>45150</v>
      </c>
      <c r="C1121" s="1" t="str">
        <f t="shared" si="69"/>
        <v>Saturday</v>
      </c>
      <c r="D1121" s="1" t="str">
        <f t="shared" si="70"/>
        <v>August</v>
      </c>
      <c r="E1121" s="1" t="str">
        <f t="shared" si="71"/>
        <v>2023</v>
      </c>
      <c r="F1121" t="s">
        <v>16</v>
      </c>
      <c r="G1121" s="5">
        <v>796.91458462440005</v>
      </c>
      <c r="H1121" s="10">
        <v>4</v>
      </c>
      <c r="I1121" s="2">
        <v>104.276769350949</v>
      </c>
      <c r="J1121" t="s">
        <v>12</v>
      </c>
    </row>
    <row r="1122" spans="1:10" x14ac:dyDescent="0.25">
      <c r="A1122" t="s">
        <v>239</v>
      </c>
      <c r="B1122" s="1">
        <f t="shared" si="68"/>
        <v>45151</v>
      </c>
      <c r="C1122" s="1" t="str">
        <f t="shared" si="69"/>
        <v>Sunday</v>
      </c>
      <c r="D1122" s="1" t="str">
        <f t="shared" si="70"/>
        <v>August</v>
      </c>
      <c r="E1122" s="1" t="str">
        <f t="shared" si="71"/>
        <v>2023</v>
      </c>
      <c r="F1122" t="s">
        <v>7</v>
      </c>
      <c r="G1122" s="5">
        <v>843.88536393928098</v>
      </c>
      <c r="H1122" s="10">
        <v>11</v>
      </c>
      <c r="I1122" s="2">
        <v>298.79125647475399</v>
      </c>
      <c r="J1122" t="s">
        <v>14</v>
      </c>
    </row>
    <row r="1123" spans="1:10" x14ac:dyDescent="0.25">
      <c r="A1123" t="s">
        <v>239</v>
      </c>
      <c r="B1123" s="1">
        <f t="shared" si="68"/>
        <v>45151</v>
      </c>
      <c r="C1123" s="1" t="str">
        <f t="shared" si="69"/>
        <v>Sunday</v>
      </c>
      <c r="D1123" s="1" t="str">
        <f t="shared" si="70"/>
        <v>August</v>
      </c>
      <c r="E1123" s="1" t="str">
        <f t="shared" si="71"/>
        <v>2023</v>
      </c>
      <c r="F1123" t="s">
        <v>9</v>
      </c>
      <c r="G1123" s="5">
        <v>918.56327936437697</v>
      </c>
      <c r="H1123" s="10">
        <v>3</v>
      </c>
      <c r="I1123" s="2">
        <v>278.27426735534402</v>
      </c>
      <c r="J1123" t="s">
        <v>8</v>
      </c>
    </row>
    <row r="1124" spans="1:10" x14ac:dyDescent="0.25">
      <c r="A1124" t="s">
        <v>239</v>
      </c>
      <c r="B1124" s="1">
        <f t="shared" si="68"/>
        <v>45151</v>
      </c>
      <c r="C1124" s="1" t="str">
        <f t="shared" si="69"/>
        <v>Sunday</v>
      </c>
      <c r="D1124" s="1" t="str">
        <f t="shared" si="70"/>
        <v>August</v>
      </c>
      <c r="E1124" s="1" t="str">
        <f t="shared" si="71"/>
        <v>2023</v>
      </c>
      <c r="F1124" t="s">
        <v>11</v>
      </c>
      <c r="G1124" s="5">
        <v>698.11919372353998</v>
      </c>
      <c r="H1124" s="10">
        <v>10</v>
      </c>
      <c r="I1124" s="2">
        <v>214.81566836089701</v>
      </c>
      <c r="J1124" t="s">
        <v>14</v>
      </c>
    </row>
    <row r="1125" spans="1:10" x14ac:dyDescent="0.25">
      <c r="A1125" t="s">
        <v>239</v>
      </c>
      <c r="B1125" s="1">
        <f t="shared" si="68"/>
        <v>45151</v>
      </c>
      <c r="C1125" s="1" t="str">
        <f t="shared" si="69"/>
        <v>Sunday</v>
      </c>
      <c r="D1125" s="1" t="str">
        <f t="shared" si="70"/>
        <v>August</v>
      </c>
      <c r="E1125" s="1" t="str">
        <f t="shared" si="71"/>
        <v>2023</v>
      </c>
      <c r="F1125" t="s">
        <v>13</v>
      </c>
      <c r="G1125" s="5">
        <v>896.87178569860998</v>
      </c>
      <c r="H1125" s="10">
        <v>1</v>
      </c>
      <c r="I1125" s="2">
        <v>257.92089347442499</v>
      </c>
      <c r="J1125" t="s">
        <v>8</v>
      </c>
    </row>
    <row r="1126" spans="1:10" x14ac:dyDescent="0.25">
      <c r="A1126" t="s">
        <v>239</v>
      </c>
      <c r="B1126" s="1">
        <f t="shared" si="68"/>
        <v>45151</v>
      </c>
      <c r="C1126" s="1" t="str">
        <f t="shared" si="69"/>
        <v>Sunday</v>
      </c>
      <c r="D1126" s="1" t="str">
        <f t="shared" si="70"/>
        <v>August</v>
      </c>
      <c r="E1126" s="1" t="str">
        <f t="shared" si="71"/>
        <v>2023</v>
      </c>
      <c r="F1126" t="s">
        <v>16</v>
      </c>
      <c r="G1126" s="5">
        <v>624.34766579999996</v>
      </c>
      <c r="H1126" s="10">
        <v>16</v>
      </c>
      <c r="I1126" s="2">
        <v>102.205832938383</v>
      </c>
      <c r="J1126" t="s">
        <v>8</v>
      </c>
    </row>
    <row r="1127" spans="1:10" x14ac:dyDescent="0.25">
      <c r="A1127" t="s">
        <v>240</v>
      </c>
      <c r="B1127" s="1">
        <f t="shared" si="68"/>
        <v>45152</v>
      </c>
      <c r="C1127" s="1" t="str">
        <f t="shared" si="69"/>
        <v>Monday</v>
      </c>
      <c r="D1127" s="1" t="str">
        <f t="shared" si="70"/>
        <v>August</v>
      </c>
      <c r="E1127" s="1" t="str">
        <f t="shared" si="71"/>
        <v>2023</v>
      </c>
      <c r="F1127" t="s">
        <v>7</v>
      </c>
      <c r="G1127" s="5">
        <v>1229.74284739786</v>
      </c>
      <c r="H1127" s="10">
        <v>18</v>
      </c>
      <c r="I1127" s="2">
        <v>139.574640460757</v>
      </c>
      <c r="J1127" t="s">
        <v>8</v>
      </c>
    </row>
    <row r="1128" spans="1:10" x14ac:dyDescent="0.25">
      <c r="A1128" t="s">
        <v>240</v>
      </c>
      <c r="B1128" s="1">
        <f t="shared" si="68"/>
        <v>45152</v>
      </c>
      <c r="C1128" s="1" t="str">
        <f t="shared" si="69"/>
        <v>Monday</v>
      </c>
      <c r="D1128" s="1" t="str">
        <f t="shared" si="70"/>
        <v>August</v>
      </c>
      <c r="E1128" s="1" t="str">
        <f t="shared" si="71"/>
        <v>2023</v>
      </c>
      <c r="F1128" t="s">
        <v>9</v>
      </c>
      <c r="G1128" s="5">
        <v>521.7145215562</v>
      </c>
      <c r="H1128" s="10">
        <v>9</v>
      </c>
      <c r="I1128" s="2">
        <v>125.000231435366</v>
      </c>
      <c r="J1128" t="s">
        <v>8</v>
      </c>
    </row>
    <row r="1129" spans="1:10" x14ac:dyDescent="0.25">
      <c r="A1129" t="s">
        <v>240</v>
      </c>
      <c r="B1129" s="1">
        <f t="shared" si="68"/>
        <v>45152</v>
      </c>
      <c r="C1129" s="1" t="str">
        <f t="shared" si="69"/>
        <v>Monday</v>
      </c>
      <c r="D1129" s="1" t="str">
        <f t="shared" si="70"/>
        <v>August</v>
      </c>
      <c r="E1129" s="1" t="str">
        <f t="shared" si="71"/>
        <v>2023</v>
      </c>
      <c r="F1129" t="s">
        <v>11</v>
      </c>
      <c r="G1129" s="5">
        <v>158.69948584799999</v>
      </c>
      <c r="H1129" s="10">
        <v>10</v>
      </c>
      <c r="I1129" s="2">
        <v>187.723967141396</v>
      </c>
      <c r="J1129" t="s">
        <v>12</v>
      </c>
    </row>
    <row r="1130" spans="1:10" x14ac:dyDescent="0.25">
      <c r="A1130" t="s">
        <v>240</v>
      </c>
      <c r="B1130" s="1">
        <f t="shared" si="68"/>
        <v>45152</v>
      </c>
      <c r="C1130" s="1" t="str">
        <f t="shared" si="69"/>
        <v>Monday</v>
      </c>
      <c r="D1130" s="1" t="str">
        <f t="shared" si="70"/>
        <v>August</v>
      </c>
      <c r="E1130" s="1" t="str">
        <f t="shared" si="71"/>
        <v>2023</v>
      </c>
      <c r="F1130" t="s">
        <v>13</v>
      </c>
      <c r="G1130" s="5">
        <v>981.36721239439998</v>
      </c>
      <c r="H1130" s="10">
        <v>2</v>
      </c>
      <c r="I1130" s="2">
        <v>223.67272868307899</v>
      </c>
      <c r="J1130" t="s">
        <v>14</v>
      </c>
    </row>
    <row r="1131" spans="1:10" x14ac:dyDescent="0.25">
      <c r="A1131" t="s">
        <v>240</v>
      </c>
      <c r="B1131" s="1">
        <f t="shared" si="68"/>
        <v>45152</v>
      </c>
      <c r="C1131" s="1" t="str">
        <f t="shared" si="69"/>
        <v>Monday</v>
      </c>
      <c r="D1131" s="1" t="str">
        <f t="shared" si="70"/>
        <v>August</v>
      </c>
      <c r="E1131" s="1" t="str">
        <f t="shared" si="71"/>
        <v>2023</v>
      </c>
      <c r="F1131" t="s">
        <v>16</v>
      </c>
      <c r="G1131" s="5">
        <v>1368.65178852176</v>
      </c>
      <c r="H1131" s="10">
        <v>4</v>
      </c>
      <c r="I1131" s="2">
        <v>208.574533853368</v>
      </c>
      <c r="J1131" t="s">
        <v>10</v>
      </c>
    </row>
    <row r="1132" spans="1:10" x14ac:dyDescent="0.25">
      <c r="A1132" t="s">
        <v>241</v>
      </c>
      <c r="B1132" s="1">
        <f t="shared" si="68"/>
        <v>45153</v>
      </c>
      <c r="C1132" s="1" t="str">
        <f t="shared" si="69"/>
        <v>Tuesday</v>
      </c>
      <c r="D1132" s="1" t="str">
        <f t="shared" si="70"/>
        <v>August</v>
      </c>
      <c r="E1132" s="1" t="str">
        <f t="shared" si="71"/>
        <v>2023</v>
      </c>
      <c r="F1132" t="s">
        <v>7</v>
      </c>
      <c r="G1132" s="5">
        <v>135.663627695</v>
      </c>
      <c r="H1132" s="10">
        <v>2</v>
      </c>
      <c r="I1132" s="2">
        <v>155.426433317662</v>
      </c>
      <c r="J1132" t="s">
        <v>14</v>
      </c>
    </row>
    <row r="1133" spans="1:10" x14ac:dyDescent="0.25">
      <c r="A1133" t="s">
        <v>241</v>
      </c>
      <c r="B1133" s="1">
        <f t="shared" si="68"/>
        <v>45153</v>
      </c>
      <c r="C1133" s="1" t="str">
        <f t="shared" si="69"/>
        <v>Tuesday</v>
      </c>
      <c r="D1133" s="1" t="str">
        <f t="shared" si="70"/>
        <v>August</v>
      </c>
      <c r="E1133" s="1" t="str">
        <f t="shared" si="71"/>
        <v>2023</v>
      </c>
      <c r="F1133" t="s">
        <v>9</v>
      </c>
      <c r="G1133" s="5">
        <v>1152.8688863770001</v>
      </c>
      <c r="H1133" s="10">
        <v>5</v>
      </c>
      <c r="I1133" s="2">
        <v>314.80522117648701</v>
      </c>
      <c r="J1133" t="s">
        <v>8</v>
      </c>
    </row>
    <row r="1134" spans="1:10" x14ac:dyDescent="0.25">
      <c r="A1134" t="s">
        <v>241</v>
      </c>
      <c r="B1134" s="1">
        <f t="shared" si="68"/>
        <v>45153</v>
      </c>
      <c r="C1134" s="1" t="str">
        <f t="shared" si="69"/>
        <v>Tuesday</v>
      </c>
      <c r="D1134" s="1" t="str">
        <f t="shared" si="70"/>
        <v>August</v>
      </c>
      <c r="E1134" s="1" t="str">
        <f t="shared" si="71"/>
        <v>2023</v>
      </c>
      <c r="F1134" t="s">
        <v>11</v>
      </c>
      <c r="G1134" s="5">
        <v>982.87286625595902</v>
      </c>
      <c r="H1134" s="10">
        <v>14</v>
      </c>
      <c r="I1134" s="2">
        <v>124.78854228839</v>
      </c>
      <c r="J1134" t="s">
        <v>12</v>
      </c>
    </row>
    <row r="1135" spans="1:10" x14ac:dyDescent="0.25">
      <c r="A1135" t="s">
        <v>241</v>
      </c>
      <c r="B1135" s="1">
        <f t="shared" si="68"/>
        <v>45153</v>
      </c>
      <c r="C1135" s="1" t="str">
        <f t="shared" si="69"/>
        <v>Tuesday</v>
      </c>
      <c r="D1135" s="1" t="str">
        <f t="shared" si="70"/>
        <v>August</v>
      </c>
      <c r="E1135" s="1" t="str">
        <f t="shared" si="71"/>
        <v>2023</v>
      </c>
      <c r="F1135" t="s">
        <v>13</v>
      </c>
      <c r="G1135" s="5">
        <v>94.684797316710998</v>
      </c>
      <c r="H1135" s="10">
        <v>14</v>
      </c>
      <c r="I1135" s="2">
        <v>319.89106352635298</v>
      </c>
      <c r="J1135" t="s">
        <v>12</v>
      </c>
    </row>
    <row r="1136" spans="1:10" x14ac:dyDescent="0.25">
      <c r="A1136" t="s">
        <v>241</v>
      </c>
      <c r="B1136" s="1">
        <f t="shared" si="68"/>
        <v>45153</v>
      </c>
      <c r="C1136" s="1" t="str">
        <f t="shared" si="69"/>
        <v>Tuesday</v>
      </c>
      <c r="D1136" s="1" t="str">
        <f t="shared" si="70"/>
        <v>August</v>
      </c>
      <c r="E1136" s="1" t="str">
        <f t="shared" si="71"/>
        <v>2023</v>
      </c>
      <c r="F1136" t="s">
        <v>16</v>
      </c>
      <c r="G1136" s="5">
        <v>679.79544819759997</v>
      </c>
      <c r="H1136" s="10">
        <v>4</v>
      </c>
      <c r="I1136" s="2">
        <v>270.14109047445999</v>
      </c>
      <c r="J1136" t="s">
        <v>12</v>
      </c>
    </row>
    <row r="1137" spans="1:10" x14ac:dyDescent="0.25">
      <c r="A1137" t="s">
        <v>242</v>
      </c>
      <c r="B1137" s="1">
        <f t="shared" si="68"/>
        <v>45154</v>
      </c>
      <c r="C1137" s="1" t="str">
        <f t="shared" si="69"/>
        <v>Wednesday</v>
      </c>
      <c r="D1137" s="1" t="str">
        <f t="shared" si="70"/>
        <v>August</v>
      </c>
      <c r="E1137" s="1" t="str">
        <f t="shared" si="71"/>
        <v>2023</v>
      </c>
      <c r="F1137" t="s">
        <v>7</v>
      </c>
      <c r="G1137" s="5">
        <v>916.12958700000001</v>
      </c>
      <c r="H1137" s="10">
        <v>14</v>
      </c>
      <c r="I1137" s="2">
        <v>307.29814979261499</v>
      </c>
      <c r="J1137" t="s">
        <v>8</v>
      </c>
    </row>
    <row r="1138" spans="1:10" x14ac:dyDescent="0.25">
      <c r="A1138" t="s">
        <v>242</v>
      </c>
      <c r="B1138" s="1">
        <f t="shared" si="68"/>
        <v>45154</v>
      </c>
      <c r="C1138" s="1" t="str">
        <f t="shared" si="69"/>
        <v>Wednesday</v>
      </c>
      <c r="D1138" s="1" t="str">
        <f t="shared" si="70"/>
        <v>August</v>
      </c>
      <c r="E1138" s="1" t="str">
        <f t="shared" si="71"/>
        <v>2023</v>
      </c>
      <c r="F1138" t="s">
        <v>9</v>
      </c>
      <c r="G1138" s="5">
        <v>133.38334159799999</v>
      </c>
      <c r="H1138" s="10">
        <v>1</v>
      </c>
      <c r="I1138" s="2">
        <v>362.9853484569</v>
      </c>
      <c r="J1138" t="s">
        <v>14</v>
      </c>
    </row>
    <row r="1139" spans="1:10" x14ac:dyDescent="0.25">
      <c r="A1139" t="s">
        <v>242</v>
      </c>
      <c r="B1139" s="1">
        <f t="shared" si="68"/>
        <v>45154</v>
      </c>
      <c r="C1139" s="1" t="str">
        <f t="shared" si="69"/>
        <v>Wednesday</v>
      </c>
      <c r="D1139" s="1" t="str">
        <f t="shared" si="70"/>
        <v>August</v>
      </c>
      <c r="E1139" s="1" t="str">
        <f t="shared" si="71"/>
        <v>2023</v>
      </c>
      <c r="F1139" t="s">
        <v>11</v>
      </c>
      <c r="G1139" s="5">
        <v>145.73436225</v>
      </c>
      <c r="H1139" s="10">
        <v>18</v>
      </c>
      <c r="I1139" s="2">
        <v>286.90516512560401</v>
      </c>
      <c r="J1139" t="s">
        <v>10</v>
      </c>
    </row>
    <row r="1140" spans="1:10" x14ac:dyDescent="0.25">
      <c r="A1140" t="s">
        <v>242</v>
      </c>
      <c r="B1140" s="1">
        <f t="shared" si="68"/>
        <v>45154</v>
      </c>
      <c r="C1140" s="1" t="str">
        <f t="shared" si="69"/>
        <v>Wednesday</v>
      </c>
      <c r="D1140" s="1" t="str">
        <f t="shared" si="70"/>
        <v>August</v>
      </c>
      <c r="E1140" s="1" t="str">
        <f t="shared" si="71"/>
        <v>2023</v>
      </c>
      <c r="F1140" t="s">
        <v>13</v>
      </c>
      <c r="G1140" s="5">
        <v>1195.7939221531201</v>
      </c>
      <c r="H1140" s="10">
        <v>8</v>
      </c>
      <c r="I1140" s="2">
        <v>165.417038178761</v>
      </c>
      <c r="J1140" t="s">
        <v>10</v>
      </c>
    </row>
    <row r="1141" spans="1:10" x14ac:dyDescent="0.25">
      <c r="A1141" t="s">
        <v>242</v>
      </c>
      <c r="B1141" s="1">
        <f t="shared" si="68"/>
        <v>45154</v>
      </c>
      <c r="C1141" s="1" t="str">
        <f t="shared" si="69"/>
        <v>Wednesday</v>
      </c>
      <c r="D1141" s="1" t="str">
        <f t="shared" si="70"/>
        <v>August</v>
      </c>
      <c r="E1141" s="1" t="str">
        <f t="shared" si="71"/>
        <v>2023</v>
      </c>
      <c r="F1141" t="s">
        <v>16</v>
      </c>
      <c r="G1141" s="5">
        <v>658.69376334778997</v>
      </c>
      <c r="H1141" s="10">
        <v>14</v>
      </c>
      <c r="I1141" s="2">
        <v>209.88184403445601</v>
      </c>
      <c r="J1141" t="s">
        <v>14</v>
      </c>
    </row>
    <row r="1142" spans="1:10" x14ac:dyDescent="0.25">
      <c r="A1142" t="s">
        <v>243</v>
      </c>
      <c r="B1142" s="1">
        <f t="shared" si="68"/>
        <v>45155</v>
      </c>
      <c r="C1142" s="1" t="str">
        <f t="shared" si="69"/>
        <v>Thursday</v>
      </c>
      <c r="D1142" s="1" t="str">
        <f t="shared" si="70"/>
        <v>August</v>
      </c>
      <c r="E1142" s="1" t="str">
        <f t="shared" si="71"/>
        <v>2023</v>
      </c>
      <c r="F1142" t="s">
        <v>7</v>
      </c>
      <c r="G1142" s="5">
        <v>974.98191366133403</v>
      </c>
      <c r="H1142" s="10">
        <v>5</v>
      </c>
      <c r="I1142" s="2">
        <v>127.752108739495</v>
      </c>
      <c r="J1142" t="s">
        <v>14</v>
      </c>
    </row>
    <row r="1143" spans="1:10" x14ac:dyDescent="0.25">
      <c r="A1143" t="s">
        <v>243</v>
      </c>
      <c r="B1143" s="1">
        <f t="shared" si="68"/>
        <v>45155</v>
      </c>
      <c r="C1143" s="1" t="str">
        <f t="shared" si="69"/>
        <v>Thursday</v>
      </c>
      <c r="D1143" s="1" t="str">
        <f t="shared" si="70"/>
        <v>August</v>
      </c>
      <c r="E1143" s="1" t="str">
        <f t="shared" si="71"/>
        <v>2023</v>
      </c>
      <c r="F1143" t="s">
        <v>9</v>
      </c>
      <c r="G1143" s="5">
        <v>43.656557187956899</v>
      </c>
      <c r="H1143" s="10">
        <v>8</v>
      </c>
      <c r="I1143" s="2">
        <v>8.1408771577335006</v>
      </c>
      <c r="J1143" t="s">
        <v>12</v>
      </c>
    </row>
    <row r="1144" spans="1:10" x14ac:dyDescent="0.25">
      <c r="A1144" t="s">
        <v>243</v>
      </c>
      <c r="B1144" s="1">
        <f t="shared" si="68"/>
        <v>45155</v>
      </c>
      <c r="C1144" s="1" t="str">
        <f t="shared" si="69"/>
        <v>Thursday</v>
      </c>
      <c r="D1144" s="1" t="str">
        <f t="shared" si="70"/>
        <v>August</v>
      </c>
      <c r="E1144" s="1" t="str">
        <f t="shared" si="71"/>
        <v>2023</v>
      </c>
      <c r="F1144" t="s">
        <v>11</v>
      </c>
      <c r="G1144" s="5">
        <v>725.11776983881998</v>
      </c>
      <c r="H1144" s="10">
        <v>19</v>
      </c>
      <c r="I1144" s="2">
        <v>104.754311653324</v>
      </c>
      <c r="J1144" t="s">
        <v>12</v>
      </c>
    </row>
    <row r="1145" spans="1:10" x14ac:dyDescent="0.25">
      <c r="A1145" t="s">
        <v>243</v>
      </c>
      <c r="B1145" s="1">
        <f t="shared" si="68"/>
        <v>45155</v>
      </c>
      <c r="C1145" s="1" t="str">
        <f t="shared" si="69"/>
        <v>Thursday</v>
      </c>
      <c r="D1145" s="1" t="str">
        <f t="shared" si="70"/>
        <v>August</v>
      </c>
      <c r="E1145" s="1" t="str">
        <f t="shared" si="71"/>
        <v>2023</v>
      </c>
      <c r="F1145" t="s">
        <v>13</v>
      </c>
      <c r="G1145" s="5">
        <v>146.6328433164</v>
      </c>
      <c r="H1145" s="10">
        <v>8</v>
      </c>
      <c r="I1145" s="2">
        <v>518.09285971608699</v>
      </c>
      <c r="J1145" t="s">
        <v>14</v>
      </c>
    </row>
    <row r="1146" spans="1:10" x14ac:dyDescent="0.25">
      <c r="A1146" t="s">
        <v>243</v>
      </c>
      <c r="B1146" s="1">
        <f t="shared" si="68"/>
        <v>45155</v>
      </c>
      <c r="C1146" s="1" t="str">
        <f t="shared" si="69"/>
        <v>Thursday</v>
      </c>
      <c r="D1146" s="1" t="str">
        <f t="shared" si="70"/>
        <v>August</v>
      </c>
      <c r="E1146" s="1" t="str">
        <f t="shared" si="71"/>
        <v>2023</v>
      </c>
      <c r="F1146" t="s">
        <v>16</v>
      </c>
      <c r="G1146" s="5">
        <v>1182.52232613976</v>
      </c>
      <c r="H1146" s="10">
        <v>6</v>
      </c>
      <c r="I1146" s="2">
        <v>406.40624141180098</v>
      </c>
      <c r="J1146" t="s">
        <v>10</v>
      </c>
    </row>
    <row r="1147" spans="1:10" x14ac:dyDescent="0.25">
      <c r="A1147" t="s">
        <v>244</v>
      </c>
      <c r="B1147" s="1">
        <f t="shared" si="68"/>
        <v>45156</v>
      </c>
      <c r="C1147" s="1" t="str">
        <f t="shared" si="69"/>
        <v>Friday</v>
      </c>
      <c r="D1147" s="1" t="str">
        <f t="shared" si="70"/>
        <v>August</v>
      </c>
      <c r="E1147" s="1" t="str">
        <f t="shared" si="71"/>
        <v>2023</v>
      </c>
      <c r="F1147" t="s">
        <v>7</v>
      </c>
      <c r="G1147" s="5">
        <v>1829.79388433178</v>
      </c>
      <c r="H1147" s="10">
        <v>2</v>
      </c>
      <c r="I1147" s="2">
        <v>516.25911559999997</v>
      </c>
      <c r="J1147" t="s">
        <v>14</v>
      </c>
    </row>
    <row r="1148" spans="1:10" x14ac:dyDescent="0.25">
      <c r="A1148" t="s">
        <v>244</v>
      </c>
      <c r="B1148" s="1">
        <f t="shared" si="68"/>
        <v>45156</v>
      </c>
      <c r="C1148" s="1" t="str">
        <f t="shared" si="69"/>
        <v>Friday</v>
      </c>
      <c r="D1148" s="1" t="str">
        <f t="shared" si="70"/>
        <v>August</v>
      </c>
      <c r="E1148" s="1" t="str">
        <f t="shared" si="71"/>
        <v>2023</v>
      </c>
      <c r="F1148" t="s">
        <v>9</v>
      </c>
      <c r="G1148" s="5">
        <v>837.92498999269003</v>
      </c>
      <c r="H1148" s="10">
        <v>1</v>
      </c>
      <c r="I1148" s="2">
        <v>162.955736082047</v>
      </c>
      <c r="J1148" t="s">
        <v>10</v>
      </c>
    </row>
    <row r="1149" spans="1:10" x14ac:dyDescent="0.25">
      <c r="A1149" t="s">
        <v>244</v>
      </c>
      <c r="B1149" s="1">
        <f t="shared" si="68"/>
        <v>45156</v>
      </c>
      <c r="C1149" s="1" t="str">
        <f t="shared" si="69"/>
        <v>Friday</v>
      </c>
      <c r="D1149" s="1" t="str">
        <f t="shared" si="70"/>
        <v>August</v>
      </c>
      <c r="E1149" s="1" t="str">
        <f t="shared" si="71"/>
        <v>2023</v>
      </c>
      <c r="F1149" t="s">
        <v>11</v>
      </c>
      <c r="G1149" s="5">
        <v>596.25464637273001</v>
      </c>
      <c r="H1149" s="10">
        <v>11</v>
      </c>
      <c r="I1149" s="2">
        <v>208.04183979999999</v>
      </c>
      <c r="J1149" t="s">
        <v>12</v>
      </c>
    </row>
    <row r="1150" spans="1:10" x14ac:dyDescent="0.25">
      <c r="A1150" t="s">
        <v>244</v>
      </c>
      <c r="B1150" s="1">
        <f t="shared" si="68"/>
        <v>45156</v>
      </c>
      <c r="C1150" s="1" t="str">
        <f t="shared" si="69"/>
        <v>Friday</v>
      </c>
      <c r="D1150" s="1" t="str">
        <f t="shared" si="70"/>
        <v>August</v>
      </c>
      <c r="E1150" s="1" t="str">
        <f t="shared" si="71"/>
        <v>2023</v>
      </c>
      <c r="F1150" t="s">
        <v>13</v>
      </c>
      <c r="G1150" s="5">
        <v>1425.5594354441</v>
      </c>
      <c r="H1150" s="10">
        <v>16</v>
      </c>
      <c r="I1150" s="2">
        <v>568.32872274570195</v>
      </c>
      <c r="J1150" t="s">
        <v>12</v>
      </c>
    </row>
    <row r="1151" spans="1:10" x14ac:dyDescent="0.25">
      <c r="A1151" t="s">
        <v>244</v>
      </c>
      <c r="B1151" s="1">
        <f t="shared" si="68"/>
        <v>45156</v>
      </c>
      <c r="C1151" s="1" t="str">
        <f t="shared" si="69"/>
        <v>Friday</v>
      </c>
      <c r="D1151" s="1" t="str">
        <f t="shared" si="70"/>
        <v>August</v>
      </c>
      <c r="E1151" s="1" t="str">
        <f t="shared" si="71"/>
        <v>2023</v>
      </c>
      <c r="F1151" t="s">
        <v>16</v>
      </c>
      <c r="G1151" s="5">
        <v>253.6574339476</v>
      </c>
      <c r="H1151" s="10">
        <v>3</v>
      </c>
      <c r="I1151" s="2">
        <v>87.192740149035004</v>
      </c>
      <c r="J1151" t="s">
        <v>12</v>
      </c>
    </row>
    <row r="1152" spans="1:10" x14ac:dyDescent="0.25">
      <c r="A1152" t="s">
        <v>245</v>
      </c>
      <c r="B1152" s="1">
        <f t="shared" si="68"/>
        <v>45157</v>
      </c>
      <c r="C1152" s="1" t="str">
        <f t="shared" si="69"/>
        <v>Saturday</v>
      </c>
      <c r="D1152" s="1" t="str">
        <f t="shared" si="70"/>
        <v>August</v>
      </c>
      <c r="E1152" s="1" t="str">
        <f t="shared" si="71"/>
        <v>2023</v>
      </c>
      <c r="F1152" t="s">
        <v>7</v>
      </c>
      <c r="G1152" s="5">
        <v>43.797946941926</v>
      </c>
      <c r="H1152" s="10">
        <v>2</v>
      </c>
      <c r="I1152" s="2">
        <v>121.846910285539</v>
      </c>
      <c r="J1152" t="s">
        <v>12</v>
      </c>
    </row>
    <row r="1153" spans="1:10" x14ac:dyDescent="0.25">
      <c r="A1153" t="s">
        <v>245</v>
      </c>
      <c r="B1153" s="1">
        <f t="shared" si="68"/>
        <v>45157</v>
      </c>
      <c r="C1153" s="1" t="str">
        <f t="shared" si="69"/>
        <v>Saturday</v>
      </c>
      <c r="D1153" s="1" t="str">
        <f t="shared" si="70"/>
        <v>August</v>
      </c>
      <c r="E1153" s="1" t="str">
        <f t="shared" si="71"/>
        <v>2023</v>
      </c>
      <c r="F1153" t="s">
        <v>9</v>
      </c>
      <c r="G1153" s="5">
        <v>922.76194452657205</v>
      </c>
      <c r="H1153" s="10">
        <v>8</v>
      </c>
      <c r="I1153" s="2">
        <v>179.54348056523199</v>
      </c>
      <c r="J1153" t="s">
        <v>10</v>
      </c>
    </row>
    <row r="1154" spans="1:10" x14ac:dyDescent="0.25">
      <c r="A1154" t="s">
        <v>245</v>
      </c>
      <c r="B1154" s="1">
        <f t="shared" si="68"/>
        <v>45157</v>
      </c>
      <c r="C1154" s="1" t="str">
        <f t="shared" si="69"/>
        <v>Saturday</v>
      </c>
      <c r="D1154" s="1" t="str">
        <f t="shared" si="70"/>
        <v>August</v>
      </c>
      <c r="E1154" s="1" t="str">
        <f t="shared" si="71"/>
        <v>2023</v>
      </c>
      <c r="F1154" t="s">
        <v>11</v>
      </c>
      <c r="G1154" s="5">
        <v>144.44435458289999</v>
      </c>
      <c r="H1154" s="10">
        <v>5</v>
      </c>
      <c r="I1154" s="2">
        <v>384.18259666342402</v>
      </c>
      <c r="J1154" t="s">
        <v>14</v>
      </c>
    </row>
    <row r="1155" spans="1:10" x14ac:dyDescent="0.25">
      <c r="A1155" t="s">
        <v>245</v>
      </c>
      <c r="B1155" s="1">
        <f t="shared" ref="B1155:B1218" si="72">DATE(VALUE(RIGHT(A1155,4)),VALUE(LEFT(A1155,FIND("/",A1155)-1)),VALUE(MID(A1155,FIND("/",A1155)+1,FIND("/",A1155,FIND("/",A1155)+1)-FIND("/",A1155)-1)))</f>
        <v>45157</v>
      </c>
      <c r="C1155" s="1" t="str">
        <f t="shared" ref="C1155:C1218" si="73">TEXT(B1155,"DDDD")</f>
        <v>Saturday</v>
      </c>
      <c r="D1155" s="1" t="str">
        <f t="shared" ref="D1155:D1218" si="74">TEXT(B1155,"MMMM")</f>
        <v>August</v>
      </c>
      <c r="E1155" s="1" t="str">
        <f t="shared" ref="E1155:E1218" si="75">TEXT(B1155,"YYYY")</f>
        <v>2023</v>
      </c>
      <c r="F1155" t="s">
        <v>13</v>
      </c>
      <c r="G1155" s="5">
        <v>77.516427699999994</v>
      </c>
      <c r="H1155" s="10">
        <v>13</v>
      </c>
      <c r="I1155" s="2">
        <v>136.39916726000399</v>
      </c>
      <c r="J1155" t="s">
        <v>10</v>
      </c>
    </row>
    <row r="1156" spans="1:10" x14ac:dyDescent="0.25">
      <c r="A1156" t="s">
        <v>245</v>
      </c>
      <c r="B1156" s="1">
        <f t="shared" si="72"/>
        <v>45157</v>
      </c>
      <c r="C1156" s="1" t="str">
        <f t="shared" si="73"/>
        <v>Saturday</v>
      </c>
      <c r="D1156" s="1" t="str">
        <f t="shared" si="74"/>
        <v>August</v>
      </c>
      <c r="E1156" s="1" t="str">
        <f t="shared" si="75"/>
        <v>2023</v>
      </c>
      <c r="F1156" t="s">
        <v>16</v>
      </c>
      <c r="G1156" s="5">
        <v>999.96425543227099</v>
      </c>
      <c r="H1156" s="10">
        <v>6</v>
      </c>
      <c r="I1156" s="2">
        <v>127.74556500846499</v>
      </c>
      <c r="J1156" t="s">
        <v>10</v>
      </c>
    </row>
    <row r="1157" spans="1:10" x14ac:dyDescent="0.25">
      <c r="A1157" t="s">
        <v>246</v>
      </c>
      <c r="B1157" s="1">
        <f t="shared" si="72"/>
        <v>45158</v>
      </c>
      <c r="C1157" s="1" t="str">
        <f t="shared" si="73"/>
        <v>Sunday</v>
      </c>
      <c r="D1157" s="1" t="str">
        <f t="shared" si="74"/>
        <v>August</v>
      </c>
      <c r="E1157" s="1" t="str">
        <f t="shared" si="75"/>
        <v>2023</v>
      </c>
      <c r="F1157" t="s">
        <v>7</v>
      </c>
      <c r="G1157" s="5">
        <v>1325.213137339</v>
      </c>
      <c r="H1157" s="10">
        <v>13</v>
      </c>
      <c r="I1157" s="2">
        <v>400.297082993331</v>
      </c>
      <c r="J1157" t="s">
        <v>8</v>
      </c>
    </row>
    <row r="1158" spans="1:10" x14ac:dyDescent="0.25">
      <c r="A1158" t="s">
        <v>246</v>
      </c>
      <c r="B1158" s="1">
        <f t="shared" si="72"/>
        <v>45158</v>
      </c>
      <c r="C1158" s="1" t="str">
        <f t="shared" si="73"/>
        <v>Sunday</v>
      </c>
      <c r="D1158" s="1" t="str">
        <f t="shared" si="74"/>
        <v>August</v>
      </c>
      <c r="E1158" s="1" t="str">
        <f t="shared" si="75"/>
        <v>2023</v>
      </c>
      <c r="F1158" t="s">
        <v>9</v>
      </c>
      <c r="G1158" s="5">
        <v>862.13531765147297</v>
      </c>
      <c r="H1158" s="10">
        <v>13</v>
      </c>
      <c r="I1158" s="2">
        <v>306.04751898341101</v>
      </c>
      <c r="J1158" t="s">
        <v>10</v>
      </c>
    </row>
    <row r="1159" spans="1:10" x14ac:dyDescent="0.25">
      <c r="A1159" t="s">
        <v>246</v>
      </c>
      <c r="B1159" s="1">
        <f t="shared" si="72"/>
        <v>45158</v>
      </c>
      <c r="C1159" s="1" t="str">
        <f t="shared" si="73"/>
        <v>Sunday</v>
      </c>
      <c r="D1159" s="1" t="str">
        <f t="shared" si="74"/>
        <v>August</v>
      </c>
      <c r="E1159" s="1" t="str">
        <f t="shared" si="75"/>
        <v>2023</v>
      </c>
      <c r="F1159" t="s">
        <v>11</v>
      </c>
      <c r="G1159" s="5">
        <v>478.56658136383999</v>
      </c>
      <c r="H1159" s="10">
        <v>8</v>
      </c>
      <c r="I1159" s="2">
        <v>65.881828178329599</v>
      </c>
      <c r="J1159" t="s">
        <v>12</v>
      </c>
    </row>
    <row r="1160" spans="1:10" x14ac:dyDescent="0.25">
      <c r="A1160" t="s">
        <v>246</v>
      </c>
      <c r="B1160" s="1">
        <f t="shared" si="72"/>
        <v>45158</v>
      </c>
      <c r="C1160" s="1" t="str">
        <f t="shared" si="73"/>
        <v>Sunday</v>
      </c>
      <c r="D1160" s="1" t="str">
        <f t="shared" si="74"/>
        <v>August</v>
      </c>
      <c r="E1160" s="1" t="str">
        <f t="shared" si="75"/>
        <v>2023</v>
      </c>
      <c r="F1160" t="s">
        <v>13</v>
      </c>
      <c r="G1160" s="5">
        <v>458.2368259333</v>
      </c>
      <c r="H1160" s="10">
        <v>11</v>
      </c>
      <c r="I1160" s="2">
        <v>83.980254082715604</v>
      </c>
      <c r="J1160" t="s">
        <v>8</v>
      </c>
    </row>
    <row r="1161" spans="1:10" x14ac:dyDescent="0.25">
      <c r="A1161" t="s">
        <v>246</v>
      </c>
      <c r="B1161" s="1">
        <f t="shared" si="72"/>
        <v>45158</v>
      </c>
      <c r="C1161" s="1" t="str">
        <f t="shared" si="73"/>
        <v>Sunday</v>
      </c>
      <c r="D1161" s="1" t="str">
        <f t="shared" si="74"/>
        <v>August</v>
      </c>
      <c r="E1161" s="1" t="str">
        <f t="shared" si="75"/>
        <v>2023</v>
      </c>
      <c r="F1161" t="s">
        <v>16</v>
      </c>
      <c r="G1161" s="5">
        <v>158.65274547230001</v>
      </c>
      <c r="H1161" s="10">
        <v>19</v>
      </c>
      <c r="I1161" s="2">
        <v>370.23749537724899</v>
      </c>
      <c r="J1161" t="s">
        <v>10</v>
      </c>
    </row>
    <row r="1162" spans="1:10" x14ac:dyDescent="0.25">
      <c r="A1162" t="s">
        <v>247</v>
      </c>
      <c r="B1162" s="1">
        <f t="shared" si="72"/>
        <v>45159</v>
      </c>
      <c r="C1162" s="1" t="str">
        <f t="shared" si="73"/>
        <v>Monday</v>
      </c>
      <c r="D1162" s="1" t="str">
        <f t="shared" si="74"/>
        <v>August</v>
      </c>
      <c r="E1162" s="1" t="str">
        <f t="shared" si="75"/>
        <v>2023</v>
      </c>
      <c r="F1162" t="s">
        <v>7</v>
      </c>
      <c r="G1162" s="5">
        <v>1354.14726339188</v>
      </c>
      <c r="H1162" s="10">
        <v>14</v>
      </c>
      <c r="I1162" s="2">
        <v>154.95194749958401</v>
      </c>
      <c r="J1162" t="s">
        <v>12</v>
      </c>
    </row>
    <row r="1163" spans="1:10" x14ac:dyDescent="0.25">
      <c r="A1163" t="s">
        <v>247</v>
      </c>
      <c r="B1163" s="1">
        <f t="shared" si="72"/>
        <v>45159</v>
      </c>
      <c r="C1163" s="1" t="str">
        <f t="shared" si="73"/>
        <v>Monday</v>
      </c>
      <c r="D1163" s="1" t="str">
        <f t="shared" si="74"/>
        <v>August</v>
      </c>
      <c r="E1163" s="1" t="str">
        <f t="shared" si="75"/>
        <v>2023</v>
      </c>
      <c r="F1163" t="s">
        <v>9</v>
      </c>
      <c r="G1163" s="5">
        <v>1683.5259595876</v>
      </c>
      <c r="H1163" s="10">
        <v>11</v>
      </c>
      <c r="I1163" s="2">
        <v>189.351770173961</v>
      </c>
      <c r="J1163" t="s">
        <v>10</v>
      </c>
    </row>
    <row r="1164" spans="1:10" x14ac:dyDescent="0.25">
      <c r="A1164" t="s">
        <v>247</v>
      </c>
      <c r="B1164" s="1">
        <f t="shared" si="72"/>
        <v>45159</v>
      </c>
      <c r="C1164" s="1" t="str">
        <f t="shared" si="73"/>
        <v>Monday</v>
      </c>
      <c r="D1164" s="1" t="str">
        <f t="shared" si="74"/>
        <v>August</v>
      </c>
      <c r="E1164" s="1" t="str">
        <f t="shared" si="75"/>
        <v>2023</v>
      </c>
      <c r="F1164" t="s">
        <v>11</v>
      </c>
      <c r="G1164" s="5">
        <v>797.822695981121</v>
      </c>
      <c r="H1164" s="10">
        <v>6</v>
      </c>
      <c r="I1164" s="2">
        <v>236.06368657675699</v>
      </c>
      <c r="J1164" t="s">
        <v>14</v>
      </c>
    </row>
    <row r="1165" spans="1:10" x14ac:dyDescent="0.25">
      <c r="A1165" t="s">
        <v>247</v>
      </c>
      <c r="B1165" s="1">
        <f t="shared" si="72"/>
        <v>45159</v>
      </c>
      <c r="C1165" s="1" t="str">
        <f t="shared" si="73"/>
        <v>Monday</v>
      </c>
      <c r="D1165" s="1" t="str">
        <f t="shared" si="74"/>
        <v>August</v>
      </c>
      <c r="E1165" s="1" t="str">
        <f t="shared" si="75"/>
        <v>2023</v>
      </c>
      <c r="F1165" t="s">
        <v>13</v>
      </c>
      <c r="G1165" s="5">
        <v>542.41673964517997</v>
      </c>
      <c r="H1165" s="10">
        <v>1</v>
      </c>
      <c r="I1165" s="2">
        <v>213.22917492102701</v>
      </c>
      <c r="J1165" t="s">
        <v>14</v>
      </c>
    </row>
    <row r="1166" spans="1:10" x14ac:dyDescent="0.25">
      <c r="A1166" t="s">
        <v>247</v>
      </c>
      <c r="B1166" s="1">
        <f t="shared" si="72"/>
        <v>45159</v>
      </c>
      <c r="C1166" s="1" t="str">
        <f t="shared" si="73"/>
        <v>Monday</v>
      </c>
      <c r="D1166" s="1" t="str">
        <f t="shared" si="74"/>
        <v>August</v>
      </c>
      <c r="E1166" s="1" t="str">
        <f t="shared" si="75"/>
        <v>2023</v>
      </c>
      <c r="F1166" t="s">
        <v>16</v>
      </c>
      <c r="G1166" s="5">
        <v>1476.9516934542</v>
      </c>
      <c r="H1166" s="10">
        <v>7</v>
      </c>
      <c r="I1166" s="2">
        <v>431.69770599678901</v>
      </c>
      <c r="J1166" t="s">
        <v>8</v>
      </c>
    </row>
    <row r="1167" spans="1:10" x14ac:dyDescent="0.25">
      <c r="A1167" t="s">
        <v>248</v>
      </c>
      <c r="B1167" s="1">
        <f t="shared" si="72"/>
        <v>45160</v>
      </c>
      <c r="C1167" s="1" t="str">
        <f t="shared" si="73"/>
        <v>Tuesday</v>
      </c>
      <c r="D1167" s="1" t="str">
        <f t="shared" si="74"/>
        <v>August</v>
      </c>
      <c r="E1167" s="1" t="str">
        <f t="shared" si="75"/>
        <v>2023</v>
      </c>
      <c r="F1167" t="s">
        <v>7</v>
      </c>
      <c r="G1167" s="5">
        <v>1172.2213662682</v>
      </c>
      <c r="H1167" s="10">
        <v>4</v>
      </c>
      <c r="I1167" s="2">
        <v>184.016295841415</v>
      </c>
      <c r="J1167" t="s">
        <v>12</v>
      </c>
    </row>
    <row r="1168" spans="1:10" x14ac:dyDescent="0.25">
      <c r="A1168" t="s">
        <v>248</v>
      </c>
      <c r="B1168" s="1">
        <f t="shared" si="72"/>
        <v>45160</v>
      </c>
      <c r="C1168" s="1" t="str">
        <f t="shared" si="73"/>
        <v>Tuesday</v>
      </c>
      <c r="D1168" s="1" t="str">
        <f t="shared" si="74"/>
        <v>August</v>
      </c>
      <c r="E1168" s="1" t="str">
        <f t="shared" si="75"/>
        <v>2023</v>
      </c>
      <c r="F1168" t="s">
        <v>9</v>
      </c>
      <c r="G1168" s="5">
        <v>79.245376517099999</v>
      </c>
      <c r="H1168" s="10">
        <v>19</v>
      </c>
      <c r="I1168" s="2">
        <v>295.06376276715798</v>
      </c>
      <c r="J1168" t="s">
        <v>12</v>
      </c>
    </row>
    <row r="1169" spans="1:10" x14ac:dyDescent="0.25">
      <c r="A1169" t="s">
        <v>248</v>
      </c>
      <c r="B1169" s="1">
        <f t="shared" si="72"/>
        <v>45160</v>
      </c>
      <c r="C1169" s="1" t="str">
        <f t="shared" si="73"/>
        <v>Tuesday</v>
      </c>
      <c r="D1169" s="1" t="str">
        <f t="shared" si="74"/>
        <v>August</v>
      </c>
      <c r="E1169" s="1" t="str">
        <f t="shared" si="75"/>
        <v>2023</v>
      </c>
      <c r="F1169" t="s">
        <v>11</v>
      </c>
      <c r="G1169" s="5">
        <v>1348.7374859776901</v>
      </c>
      <c r="H1169" s="10">
        <v>16</v>
      </c>
      <c r="I1169" s="2">
        <v>157.88917062902499</v>
      </c>
      <c r="J1169" t="s">
        <v>8</v>
      </c>
    </row>
    <row r="1170" spans="1:10" x14ac:dyDescent="0.25">
      <c r="A1170" t="s">
        <v>248</v>
      </c>
      <c r="B1170" s="1">
        <f t="shared" si="72"/>
        <v>45160</v>
      </c>
      <c r="C1170" s="1" t="str">
        <f t="shared" si="73"/>
        <v>Tuesday</v>
      </c>
      <c r="D1170" s="1" t="str">
        <f t="shared" si="74"/>
        <v>August</v>
      </c>
      <c r="E1170" s="1" t="str">
        <f t="shared" si="75"/>
        <v>2023</v>
      </c>
      <c r="F1170" t="s">
        <v>13</v>
      </c>
      <c r="G1170" s="5">
        <v>845.51222223792001</v>
      </c>
      <c r="H1170" s="10">
        <v>4</v>
      </c>
      <c r="I1170" s="2">
        <v>184.98215141262199</v>
      </c>
      <c r="J1170" t="s">
        <v>8</v>
      </c>
    </row>
    <row r="1171" spans="1:10" x14ac:dyDescent="0.25">
      <c r="A1171" t="s">
        <v>248</v>
      </c>
      <c r="B1171" s="1">
        <f t="shared" si="72"/>
        <v>45160</v>
      </c>
      <c r="C1171" s="1" t="str">
        <f t="shared" si="73"/>
        <v>Tuesday</v>
      </c>
      <c r="D1171" s="1" t="str">
        <f t="shared" si="74"/>
        <v>August</v>
      </c>
      <c r="E1171" s="1" t="str">
        <f t="shared" si="75"/>
        <v>2023</v>
      </c>
      <c r="F1171" t="s">
        <v>16</v>
      </c>
      <c r="G1171" s="5">
        <v>1261.3227186536701</v>
      </c>
      <c r="H1171" s="10">
        <v>7</v>
      </c>
      <c r="I1171" s="2">
        <v>297.99392354071199</v>
      </c>
      <c r="J1171" t="s">
        <v>10</v>
      </c>
    </row>
    <row r="1172" spans="1:10" x14ac:dyDescent="0.25">
      <c r="A1172" t="s">
        <v>249</v>
      </c>
      <c r="B1172" s="1">
        <f t="shared" si="72"/>
        <v>45161</v>
      </c>
      <c r="C1172" s="1" t="str">
        <f t="shared" si="73"/>
        <v>Wednesday</v>
      </c>
      <c r="D1172" s="1" t="str">
        <f t="shared" si="74"/>
        <v>August</v>
      </c>
      <c r="E1172" s="1" t="str">
        <f t="shared" si="75"/>
        <v>2023</v>
      </c>
      <c r="F1172" t="s">
        <v>7</v>
      </c>
      <c r="G1172" s="5">
        <v>1245.43818587445</v>
      </c>
      <c r="H1172" s="10">
        <v>13</v>
      </c>
      <c r="I1172" s="2">
        <v>169.54673357306299</v>
      </c>
      <c r="J1172" t="s">
        <v>14</v>
      </c>
    </row>
    <row r="1173" spans="1:10" x14ac:dyDescent="0.25">
      <c r="A1173" t="s">
        <v>249</v>
      </c>
      <c r="B1173" s="1">
        <f t="shared" si="72"/>
        <v>45161</v>
      </c>
      <c r="C1173" s="1" t="str">
        <f t="shared" si="73"/>
        <v>Wednesday</v>
      </c>
      <c r="D1173" s="1" t="str">
        <f t="shared" si="74"/>
        <v>August</v>
      </c>
      <c r="E1173" s="1" t="str">
        <f t="shared" si="75"/>
        <v>2023</v>
      </c>
      <c r="F1173" t="s">
        <v>9</v>
      </c>
      <c r="G1173" s="5">
        <v>367.94488260000003</v>
      </c>
      <c r="H1173" s="10">
        <v>11</v>
      </c>
      <c r="I1173" s="2">
        <v>143.79158838388599</v>
      </c>
      <c r="J1173" t="s">
        <v>12</v>
      </c>
    </row>
    <row r="1174" spans="1:10" x14ac:dyDescent="0.25">
      <c r="A1174" t="s">
        <v>249</v>
      </c>
      <c r="B1174" s="1">
        <f t="shared" si="72"/>
        <v>45161</v>
      </c>
      <c r="C1174" s="1" t="str">
        <f t="shared" si="73"/>
        <v>Wednesday</v>
      </c>
      <c r="D1174" s="1" t="str">
        <f t="shared" si="74"/>
        <v>August</v>
      </c>
      <c r="E1174" s="1" t="str">
        <f t="shared" si="75"/>
        <v>2023</v>
      </c>
      <c r="F1174" t="s">
        <v>11</v>
      </c>
      <c r="G1174" s="5">
        <v>957.63323933723996</v>
      </c>
      <c r="H1174" s="10">
        <v>1</v>
      </c>
      <c r="I1174" s="2">
        <v>241.11241462807101</v>
      </c>
      <c r="J1174" t="s">
        <v>12</v>
      </c>
    </row>
    <row r="1175" spans="1:10" x14ac:dyDescent="0.25">
      <c r="A1175" t="s">
        <v>249</v>
      </c>
      <c r="B1175" s="1">
        <f t="shared" si="72"/>
        <v>45161</v>
      </c>
      <c r="C1175" s="1" t="str">
        <f t="shared" si="73"/>
        <v>Wednesday</v>
      </c>
      <c r="D1175" s="1" t="str">
        <f t="shared" si="74"/>
        <v>August</v>
      </c>
      <c r="E1175" s="1" t="str">
        <f t="shared" si="75"/>
        <v>2023</v>
      </c>
      <c r="F1175" t="s">
        <v>13</v>
      </c>
      <c r="G1175" s="5">
        <v>142.84771119000001</v>
      </c>
      <c r="H1175" s="10">
        <v>3</v>
      </c>
      <c r="I1175" s="2">
        <v>417.02300643929999</v>
      </c>
      <c r="J1175" t="s">
        <v>8</v>
      </c>
    </row>
    <row r="1176" spans="1:10" x14ac:dyDescent="0.25">
      <c r="A1176" t="s">
        <v>249</v>
      </c>
      <c r="B1176" s="1">
        <f t="shared" si="72"/>
        <v>45161</v>
      </c>
      <c r="C1176" s="1" t="str">
        <f t="shared" si="73"/>
        <v>Wednesday</v>
      </c>
      <c r="D1176" s="1" t="str">
        <f t="shared" si="74"/>
        <v>August</v>
      </c>
      <c r="E1176" s="1" t="str">
        <f t="shared" si="75"/>
        <v>2023</v>
      </c>
      <c r="F1176" t="s">
        <v>16</v>
      </c>
      <c r="G1176" s="5">
        <v>192.42569822774001</v>
      </c>
      <c r="H1176" s="10">
        <v>6</v>
      </c>
      <c r="I1176" s="2">
        <v>236.16312561473001</v>
      </c>
      <c r="J1176" t="s">
        <v>10</v>
      </c>
    </row>
    <row r="1177" spans="1:10" x14ac:dyDescent="0.25">
      <c r="A1177" t="s">
        <v>250</v>
      </c>
      <c r="B1177" s="1">
        <f t="shared" si="72"/>
        <v>45162</v>
      </c>
      <c r="C1177" s="1" t="str">
        <f t="shared" si="73"/>
        <v>Thursday</v>
      </c>
      <c r="D1177" s="1" t="str">
        <f t="shared" si="74"/>
        <v>August</v>
      </c>
      <c r="E1177" s="1" t="str">
        <f t="shared" si="75"/>
        <v>2023</v>
      </c>
      <c r="F1177" t="s">
        <v>7</v>
      </c>
      <c r="G1177" s="5">
        <v>99.884353147400006</v>
      </c>
      <c r="H1177" s="10">
        <v>6</v>
      </c>
      <c r="I1177" s="2">
        <v>234.458042405127</v>
      </c>
      <c r="J1177" t="s">
        <v>8</v>
      </c>
    </row>
    <row r="1178" spans="1:10" x14ac:dyDescent="0.25">
      <c r="A1178" t="s">
        <v>250</v>
      </c>
      <c r="B1178" s="1">
        <f t="shared" si="72"/>
        <v>45162</v>
      </c>
      <c r="C1178" s="1" t="str">
        <f t="shared" si="73"/>
        <v>Thursday</v>
      </c>
      <c r="D1178" s="1" t="str">
        <f t="shared" si="74"/>
        <v>August</v>
      </c>
      <c r="E1178" s="1" t="str">
        <f t="shared" si="75"/>
        <v>2023</v>
      </c>
      <c r="F1178" t="s">
        <v>9</v>
      </c>
      <c r="G1178" s="5">
        <v>151.75834876920001</v>
      </c>
      <c r="H1178" s="10">
        <v>18</v>
      </c>
      <c r="I1178" s="2">
        <v>167.53639496675299</v>
      </c>
      <c r="J1178" t="s">
        <v>12</v>
      </c>
    </row>
    <row r="1179" spans="1:10" x14ac:dyDescent="0.25">
      <c r="A1179" t="s">
        <v>250</v>
      </c>
      <c r="B1179" s="1">
        <f t="shared" si="72"/>
        <v>45162</v>
      </c>
      <c r="C1179" s="1" t="str">
        <f t="shared" si="73"/>
        <v>Thursday</v>
      </c>
      <c r="D1179" s="1" t="str">
        <f t="shared" si="74"/>
        <v>August</v>
      </c>
      <c r="E1179" s="1" t="str">
        <f t="shared" si="75"/>
        <v>2023</v>
      </c>
      <c r="F1179" t="s">
        <v>11</v>
      </c>
      <c r="G1179" s="5">
        <v>1153.2588967444899</v>
      </c>
      <c r="H1179" s="10">
        <v>10</v>
      </c>
      <c r="I1179" s="2">
        <v>206.134850901899</v>
      </c>
      <c r="J1179" t="s">
        <v>14</v>
      </c>
    </row>
    <row r="1180" spans="1:10" x14ac:dyDescent="0.25">
      <c r="A1180" t="s">
        <v>250</v>
      </c>
      <c r="B1180" s="1">
        <f t="shared" si="72"/>
        <v>45162</v>
      </c>
      <c r="C1180" s="1" t="str">
        <f t="shared" si="73"/>
        <v>Thursday</v>
      </c>
      <c r="D1180" s="1" t="str">
        <f t="shared" si="74"/>
        <v>August</v>
      </c>
      <c r="E1180" s="1" t="str">
        <f t="shared" si="75"/>
        <v>2023</v>
      </c>
      <c r="F1180" t="s">
        <v>13</v>
      </c>
      <c r="G1180" s="5">
        <v>46.978596165840003</v>
      </c>
      <c r="H1180" s="10">
        <v>1</v>
      </c>
      <c r="I1180" s="2">
        <v>63.636807571022899</v>
      </c>
      <c r="J1180" t="s">
        <v>8</v>
      </c>
    </row>
    <row r="1181" spans="1:10" x14ac:dyDescent="0.25">
      <c r="A1181" t="s">
        <v>250</v>
      </c>
      <c r="B1181" s="1">
        <f t="shared" si="72"/>
        <v>45162</v>
      </c>
      <c r="C1181" s="1" t="str">
        <f t="shared" si="73"/>
        <v>Thursday</v>
      </c>
      <c r="D1181" s="1" t="str">
        <f t="shared" si="74"/>
        <v>August</v>
      </c>
      <c r="E1181" s="1" t="str">
        <f t="shared" si="75"/>
        <v>2023</v>
      </c>
      <c r="F1181" t="s">
        <v>16</v>
      </c>
      <c r="G1181" s="5">
        <v>1447.1138415789001</v>
      </c>
      <c r="H1181" s="10">
        <v>2</v>
      </c>
      <c r="I1181" s="2">
        <v>161.24594793137899</v>
      </c>
      <c r="J1181" t="s">
        <v>14</v>
      </c>
    </row>
    <row r="1182" spans="1:10" x14ac:dyDescent="0.25">
      <c r="A1182" t="s">
        <v>251</v>
      </c>
      <c r="B1182" s="1">
        <f t="shared" si="72"/>
        <v>45163</v>
      </c>
      <c r="C1182" s="1" t="str">
        <f t="shared" si="73"/>
        <v>Friday</v>
      </c>
      <c r="D1182" s="1" t="str">
        <f t="shared" si="74"/>
        <v>August</v>
      </c>
      <c r="E1182" s="1" t="str">
        <f t="shared" si="75"/>
        <v>2023</v>
      </c>
      <c r="F1182" t="s">
        <v>7</v>
      </c>
      <c r="G1182" s="5">
        <v>1649.5168234197999</v>
      </c>
      <c r="H1182" s="10">
        <v>9</v>
      </c>
      <c r="I1182" s="2">
        <v>213.74153438602099</v>
      </c>
      <c r="J1182" t="s">
        <v>14</v>
      </c>
    </row>
    <row r="1183" spans="1:10" x14ac:dyDescent="0.25">
      <c r="A1183" t="s">
        <v>251</v>
      </c>
      <c r="B1183" s="1">
        <f t="shared" si="72"/>
        <v>45163</v>
      </c>
      <c r="C1183" s="1" t="str">
        <f t="shared" si="73"/>
        <v>Friday</v>
      </c>
      <c r="D1183" s="1" t="str">
        <f t="shared" si="74"/>
        <v>August</v>
      </c>
      <c r="E1183" s="1" t="str">
        <f t="shared" si="75"/>
        <v>2023</v>
      </c>
      <c r="F1183" t="s">
        <v>9</v>
      </c>
      <c r="G1183" s="5">
        <v>1357.164578337</v>
      </c>
      <c r="H1183" s="10">
        <v>19</v>
      </c>
      <c r="I1183" s="2">
        <v>256.01603822875597</v>
      </c>
      <c r="J1183" t="s">
        <v>14</v>
      </c>
    </row>
    <row r="1184" spans="1:10" x14ac:dyDescent="0.25">
      <c r="A1184" t="s">
        <v>251</v>
      </c>
      <c r="B1184" s="1">
        <f t="shared" si="72"/>
        <v>45163</v>
      </c>
      <c r="C1184" s="1" t="str">
        <f t="shared" si="73"/>
        <v>Friday</v>
      </c>
      <c r="D1184" s="1" t="str">
        <f t="shared" si="74"/>
        <v>August</v>
      </c>
      <c r="E1184" s="1" t="str">
        <f t="shared" si="75"/>
        <v>2023</v>
      </c>
      <c r="F1184" t="s">
        <v>11</v>
      </c>
      <c r="G1184" s="5">
        <v>137.17522792790001</v>
      </c>
      <c r="H1184" s="10">
        <v>14</v>
      </c>
      <c r="I1184" s="2">
        <v>149.88022278227601</v>
      </c>
      <c r="J1184" t="s">
        <v>14</v>
      </c>
    </row>
    <row r="1185" spans="1:10" x14ac:dyDescent="0.25">
      <c r="A1185" t="s">
        <v>251</v>
      </c>
      <c r="B1185" s="1">
        <f t="shared" si="72"/>
        <v>45163</v>
      </c>
      <c r="C1185" s="1" t="str">
        <f t="shared" si="73"/>
        <v>Friday</v>
      </c>
      <c r="D1185" s="1" t="str">
        <f t="shared" si="74"/>
        <v>August</v>
      </c>
      <c r="E1185" s="1" t="str">
        <f t="shared" si="75"/>
        <v>2023</v>
      </c>
      <c r="F1185" t="s">
        <v>13</v>
      </c>
      <c r="G1185" s="5">
        <v>762.48719482972103</v>
      </c>
      <c r="H1185" s="10">
        <v>16</v>
      </c>
      <c r="I1185" s="2">
        <v>203.96966661494699</v>
      </c>
      <c r="J1185" t="s">
        <v>10</v>
      </c>
    </row>
    <row r="1186" spans="1:10" x14ac:dyDescent="0.25">
      <c r="A1186" t="s">
        <v>251</v>
      </c>
      <c r="B1186" s="1">
        <f t="shared" si="72"/>
        <v>45163</v>
      </c>
      <c r="C1186" s="1" t="str">
        <f t="shared" si="73"/>
        <v>Friday</v>
      </c>
      <c r="D1186" s="1" t="str">
        <f t="shared" si="74"/>
        <v>August</v>
      </c>
      <c r="E1186" s="1" t="str">
        <f t="shared" si="75"/>
        <v>2023</v>
      </c>
      <c r="F1186" t="s">
        <v>16</v>
      </c>
      <c r="G1186" s="5">
        <v>1591.7626533693999</v>
      </c>
      <c r="H1186" s="10">
        <v>17</v>
      </c>
      <c r="I1186" s="2">
        <v>409.240625834936</v>
      </c>
      <c r="J1186" t="s">
        <v>12</v>
      </c>
    </row>
    <row r="1187" spans="1:10" x14ac:dyDescent="0.25">
      <c r="A1187" t="s">
        <v>252</v>
      </c>
      <c r="B1187" s="1">
        <f t="shared" si="72"/>
        <v>45164</v>
      </c>
      <c r="C1187" s="1" t="str">
        <f t="shared" si="73"/>
        <v>Saturday</v>
      </c>
      <c r="D1187" s="1" t="str">
        <f t="shared" si="74"/>
        <v>August</v>
      </c>
      <c r="E1187" s="1" t="str">
        <f t="shared" si="75"/>
        <v>2023</v>
      </c>
      <c r="F1187" t="s">
        <v>7</v>
      </c>
      <c r="G1187" s="5">
        <v>584.23617282999999</v>
      </c>
      <c r="H1187" s="10">
        <v>16</v>
      </c>
      <c r="I1187" s="2">
        <v>161.232706241367</v>
      </c>
      <c r="J1187" t="s">
        <v>14</v>
      </c>
    </row>
    <row r="1188" spans="1:10" x14ac:dyDescent="0.25">
      <c r="A1188" t="s">
        <v>252</v>
      </c>
      <c r="B1188" s="1">
        <f t="shared" si="72"/>
        <v>45164</v>
      </c>
      <c r="C1188" s="1" t="str">
        <f t="shared" si="73"/>
        <v>Saturday</v>
      </c>
      <c r="D1188" s="1" t="str">
        <f t="shared" si="74"/>
        <v>August</v>
      </c>
      <c r="E1188" s="1" t="str">
        <f t="shared" si="75"/>
        <v>2023</v>
      </c>
      <c r="F1188" t="s">
        <v>9</v>
      </c>
      <c r="G1188" s="5">
        <v>812.92717263939505</v>
      </c>
      <c r="H1188" s="10">
        <v>2</v>
      </c>
      <c r="I1188" s="2">
        <v>234.95866449968901</v>
      </c>
      <c r="J1188" t="s">
        <v>12</v>
      </c>
    </row>
    <row r="1189" spans="1:10" x14ac:dyDescent="0.25">
      <c r="A1189" t="s">
        <v>252</v>
      </c>
      <c r="B1189" s="1">
        <f t="shared" si="72"/>
        <v>45164</v>
      </c>
      <c r="C1189" s="1" t="str">
        <f t="shared" si="73"/>
        <v>Saturday</v>
      </c>
      <c r="D1189" s="1" t="str">
        <f t="shared" si="74"/>
        <v>August</v>
      </c>
      <c r="E1189" s="1" t="str">
        <f t="shared" si="75"/>
        <v>2023</v>
      </c>
      <c r="F1189" t="s">
        <v>11</v>
      </c>
      <c r="G1189" s="5">
        <v>697.41356849629994</v>
      </c>
      <c r="H1189" s="10">
        <v>4</v>
      </c>
      <c r="I1189" s="2">
        <v>233.65793881133101</v>
      </c>
      <c r="J1189" t="s">
        <v>8</v>
      </c>
    </row>
    <row r="1190" spans="1:10" x14ac:dyDescent="0.25">
      <c r="A1190" t="s">
        <v>252</v>
      </c>
      <c r="B1190" s="1">
        <f t="shared" si="72"/>
        <v>45164</v>
      </c>
      <c r="C1190" s="1" t="str">
        <f t="shared" si="73"/>
        <v>Saturday</v>
      </c>
      <c r="D1190" s="1" t="str">
        <f t="shared" si="74"/>
        <v>August</v>
      </c>
      <c r="E1190" s="1" t="str">
        <f t="shared" si="75"/>
        <v>2023</v>
      </c>
      <c r="F1190" t="s">
        <v>13</v>
      </c>
      <c r="G1190" s="5">
        <v>1178.7363447979999</v>
      </c>
      <c r="H1190" s="10">
        <v>13</v>
      </c>
      <c r="I1190" s="2">
        <v>257.24837847869998</v>
      </c>
      <c r="J1190" t="s">
        <v>14</v>
      </c>
    </row>
    <row r="1191" spans="1:10" x14ac:dyDescent="0.25">
      <c r="A1191" t="s">
        <v>252</v>
      </c>
      <c r="B1191" s="1">
        <f t="shared" si="72"/>
        <v>45164</v>
      </c>
      <c r="C1191" s="1" t="str">
        <f t="shared" si="73"/>
        <v>Saturday</v>
      </c>
      <c r="D1191" s="1" t="str">
        <f t="shared" si="74"/>
        <v>August</v>
      </c>
      <c r="E1191" s="1" t="str">
        <f t="shared" si="75"/>
        <v>2023</v>
      </c>
      <c r="F1191" t="s">
        <v>16</v>
      </c>
      <c r="G1191" s="5">
        <v>694.77849361386995</v>
      </c>
      <c r="H1191" s="10">
        <v>8</v>
      </c>
      <c r="I1191" s="2">
        <v>236.575751034327</v>
      </c>
      <c r="J1191" t="s">
        <v>10</v>
      </c>
    </row>
    <row r="1192" spans="1:10" x14ac:dyDescent="0.25">
      <c r="A1192" t="s">
        <v>253</v>
      </c>
      <c r="B1192" s="1">
        <f t="shared" si="72"/>
        <v>45165</v>
      </c>
      <c r="C1192" s="1" t="str">
        <f t="shared" si="73"/>
        <v>Sunday</v>
      </c>
      <c r="D1192" s="1" t="str">
        <f t="shared" si="74"/>
        <v>August</v>
      </c>
      <c r="E1192" s="1" t="str">
        <f t="shared" si="75"/>
        <v>2023</v>
      </c>
      <c r="F1192" t="s">
        <v>7</v>
      </c>
      <c r="G1192" s="5">
        <v>179.61382947999999</v>
      </c>
      <c r="H1192" s="10">
        <v>5</v>
      </c>
      <c r="I1192" s="2">
        <v>184.64141672933201</v>
      </c>
      <c r="J1192" t="s">
        <v>12</v>
      </c>
    </row>
    <row r="1193" spans="1:10" x14ac:dyDescent="0.25">
      <c r="A1193" t="s">
        <v>253</v>
      </c>
      <c r="B1193" s="1">
        <f t="shared" si="72"/>
        <v>45165</v>
      </c>
      <c r="C1193" s="1" t="str">
        <f t="shared" si="73"/>
        <v>Sunday</v>
      </c>
      <c r="D1193" s="1" t="str">
        <f t="shared" si="74"/>
        <v>August</v>
      </c>
      <c r="E1193" s="1" t="str">
        <f t="shared" si="75"/>
        <v>2023</v>
      </c>
      <c r="F1193" t="s">
        <v>9</v>
      </c>
      <c r="G1193" s="5">
        <v>1159.5234649376901</v>
      </c>
      <c r="H1193" s="10">
        <v>1</v>
      </c>
      <c r="I1193" s="2">
        <v>167.832032670964</v>
      </c>
      <c r="J1193" t="s">
        <v>14</v>
      </c>
    </row>
    <row r="1194" spans="1:10" x14ac:dyDescent="0.25">
      <c r="A1194" t="s">
        <v>253</v>
      </c>
      <c r="B1194" s="1">
        <f t="shared" si="72"/>
        <v>45165</v>
      </c>
      <c r="C1194" s="1" t="str">
        <f t="shared" si="73"/>
        <v>Sunday</v>
      </c>
      <c r="D1194" s="1" t="str">
        <f t="shared" si="74"/>
        <v>August</v>
      </c>
      <c r="E1194" s="1" t="str">
        <f t="shared" si="75"/>
        <v>2023</v>
      </c>
      <c r="F1194" t="s">
        <v>11</v>
      </c>
      <c r="G1194" s="5">
        <v>823.27216427300004</v>
      </c>
      <c r="H1194" s="10">
        <v>15</v>
      </c>
      <c r="I1194" s="2">
        <v>233.009907286859</v>
      </c>
      <c r="J1194" t="s">
        <v>10</v>
      </c>
    </row>
    <row r="1195" spans="1:10" x14ac:dyDescent="0.25">
      <c r="A1195" t="s">
        <v>253</v>
      </c>
      <c r="B1195" s="1">
        <f t="shared" si="72"/>
        <v>45165</v>
      </c>
      <c r="C1195" s="1" t="str">
        <f t="shared" si="73"/>
        <v>Sunday</v>
      </c>
      <c r="D1195" s="1" t="str">
        <f t="shared" si="74"/>
        <v>August</v>
      </c>
      <c r="E1195" s="1" t="str">
        <f t="shared" si="75"/>
        <v>2023</v>
      </c>
      <c r="F1195" t="s">
        <v>13</v>
      </c>
      <c r="G1195" s="5">
        <v>1253.28496842922</v>
      </c>
      <c r="H1195" s="10">
        <v>12</v>
      </c>
      <c r="I1195" s="2">
        <v>145.84429864199501</v>
      </c>
      <c r="J1195" t="s">
        <v>10</v>
      </c>
    </row>
    <row r="1196" spans="1:10" x14ac:dyDescent="0.25">
      <c r="A1196" t="s">
        <v>253</v>
      </c>
      <c r="B1196" s="1">
        <f t="shared" si="72"/>
        <v>45165</v>
      </c>
      <c r="C1196" s="1" t="str">
        <f t="shared" si="73"/>
        <v>Sunday</v>
      </c>
      <c r="D1196" s="1" t="str">
        <f t="shared" si="74"/>
        <v>August</v>
      </c>
      <c r="E1196" s="1" t="str">
        <f t="shared" si="75"/>
        <v>2023</v>
      </c>
      <c r="F1196" t="s">
        <v>16</v>
      </c>
      <c r="G1196" s="5">
        <v>946.77386850000005</v>
      </c>
      <c r="H1196" s="10">
        <v>6</v>
      </c>
      <c r="I1196" s="2">
        <v>156.122853084442</v>
      </c>
      <c r="J1196" t="s">
        <v>8</v>
      </c>
    </row>
    <row r="1197" spans="1:10" x14ac:dyDescent="0.25">
      <c r="A1197" t="s">
        <v>254</v>
      </c>
      <c r="B1197" s="1">
        <f t="shared" si="72"/>
        <v>45166</v>
      </c>
      <c r="C1197" s="1" t="str">
        <f t="shared" si="73"/>
        <v>Monday</v>
      </c>
      <c r="D1197" s="1" t="str">
        <f t="shared" si="74"/>
        <v>August</v>
      </c>
      <c r="E1197" s="1" t="str">
        <f t="shared" si="75"/>
        <v>2023</v>
      </c>
      <c r="F1197" t="s">
        <v>7</v>
      </c>
      <c r="G1197" s="5">
        <v>593.34115127119003</v>
      </c>
      <c r="H1197" s="10">
        <v>12</v>
      </c>
      <c r="I1197" s="2">
        <v>67.942790991796699</v>
      </c>
      <c r="J1197" t="s">
        <v>12</v>
      </c>
    </row>
    <row r="1198" spans="1:10" x14ac:dyDescent="0.25">
      <c r="A1198" t="s">
        <v>254</v>
      </c>
      <c r="B1198" s="1">
        <f t="shared" si="72"/>
        <v>45166</v>
      </c>
      <c r="C1198" s="1" t="str">
        <f t="shared" si="73"/>
        <v>Monday</v>
      </c>
      <c r="D1198" s="1" t="str">
        <f t="shared" si="74"/>
        <v>August</v>
      </c>
      <c r="E1198" s="1" t="str">
        <f t="shared" si="75"/>
        <v>2023</v>
      </c>
      <c r="F1198" t="s">
        <v>9</v>
      </c>
      <c r="G1198" s="5">
        <v>587.81357737999997</v>
      </c>
      <c r="H1198" s="10">
        <v>4</v>
      </c>
      <c r="I1198" s="2">
        <v>121.046191395248</v>
      </c>
      <c r="J1198" t="s">
        <v>8</v>
      </c>
    </row>
    <row r="1199" spans="1:10" x14ac:dyDescent="0.25">
      <c r="A1199" t="s">
        <v>254</v>
      </c>
      <c r="B1199" s="1">
        <f t="shared" si="72"/>
        <v>45166</v>
      </c>
      <c r="C1199" s="1" t="str">
        <f t="shared" si="73"/>
        <v>Monday</v>
      </c>
      <c r="D1199" s="1" t="str">
        <f t="shared" si="74"/>
        <v>August</v>
      </c>
      <c r="E1199" s="1" t="str">
        <f t="shared" si="75"/>
        <v>2023</v>
      </c>
      <c r="F1199" t="s">
        <v>11</v>
      </c>
      <c r="G1199" s="5">
        <v>919.29916723566998</v>
      </c>
      <c r="H1199" s="10">
        <v>2</v>
      </c>
      <c r="I1199" s="2">
        <v>319.71358175627603</v>
      </c>
      <c r="J1199" t="s">
        <v>12</v>
      </c>
    </row>
    <row r="1200" spans="1:10" x14ac:dyDescent="0.25">
      <c r="A1200" t="s">
        <v>254</v>
      </c>
      <c r="B1200" s="1">
        <f t="shared" si="72"/>
        <v>45166</v>
      </c>
      <c r="C1200" s="1" t="str">
        <f t="shared" si="73"/>
        <v>Monday</v>
      </c>
      <c r="D1200" s="1" t="str">
        <f t="shared" si="74"/>
        <v>August</v>
      </c>
      <c r="E1200" s="1" t="str">
        <f t="shared" si="75"/>
        <v>2023</v>
      </c>
      <c r="F1200" t="s">
        <v>13</v>
      </c>
      <c r="G1200" s="5">
        <v>269.74784247221999</v>
      </c>
      <c r="H1200" s="10">
        <v>16</v>
      </c>
      <c r="I1200" s="2">
        <v>97.078666038207203</v>
      </c>
      <c r="J1200" t="s">
        <v>10</v>
      </c>
    </row>
    <row r="1201" spans="1:10" x14ac:dyDescent="0.25">
      <c r="A1201" t="s">
        <v>254</v>
      </c>
      <c r="B1201" s="1">
        <f t="shared" si="72"/>
        <v>45166</v>
      </c>
      <c r="C1201" s="1" t="str">
        <f t="shared" si="73"/>
        <v>Monday</v>
      </c>
      <c r="D1201" s="1" t="str">
        <f t="shared" si="74"/>
        <v>August</v>
      </c>
      <c r="E1201" s="1" t="str">
        <f t="shared" si="75"/>
        <v>2023</v>
      </c>
      <c r="F1201" t="s">
        <v>16</v>
      </c>
      <c r="G1201" s="5">
        <v>546.93926374930004</v>
      </c>
      <c r="H1201" s="10">
        <v>19</v>
      </c>
      <c r="I1201" s="2">
        <v>157.349422392093</v>
      </c>
      <c r="J1201" t="s">
        <v>8</v>
      </c>
    </row>
    <row r="1202" spans="1:10" x14ac:dyDescent="0.25">
      <c r="A1202" t="s">
        <v>255</v>
      </c>
      <c r="B1202" s="1">
        <f t="shared" si="72"/>
        <v>45167</v>
      </c>
      <c r="C1202" s="1" t="str">
        <f t="shared" si="73"/>
        <v>Tuesday</v>
      </c>
      <c r="D1202" s="1" t="str">
        <f t="shared" si="74"/>
        <v>August</v>
      </c>
      <c r="E1202" s="1" t="str">
        <f t="shared" si="75"/>
        <v>2023</v>
      </c>
      <c r="F1202" t="s">
        <v>7</v>
      </c>
      <c r="G1202" s="5">
        <v>1149.72693851599</v>
      </c>
      <c r="H1202" s="10">
        <v>10</v>
      </c>
      <c r="I1202" s="2">
        <v>302.26256803764699</v>
      </c>
      <c r="J1202" t="s">
        <v>12</v>
      </c>
    </row>
    <row r="1203" spans="1:10" x14ac:dyDescent="0.25">
      <c r="A1203" t="s">
        <v>255</v>
      </c>
      <c r="B1203" s="1">
        <f t="shared" si="72"/>
        <v>45167</v>
      </c>
      <c r="C1203" s="1" t="str">
        <f t="shared" si="73"/>
        <v>Tuesday</v>
      </c>
      <c r="D1203" s="1" t="str">
        <f t="shared" si="74"/>
        <v>August</v>
      </c>
      <c r="E1203" s="1" t="str">
        <f t="shared" si="75"/>
        <v>2023</v>
      </c>
      <c r="F1203" t="s">
        <v>9</v>
      </c>
      <c r="G1203" s="5">
        <v>1169.3798625497</v>
      </c>
      <c r="H1203" s="10">
        <v>15</v>
      </c>
      <c r="I1203" s="2">
        <v>336.214141676758</v>
      </c>
      <c r="J1203" t="s">
        <v>10</v>
      </c>
    </row>
    <row r="1204" spans="1:10" x14ac:dyDescent="0.25">
      <c r="A1204" t="s">
        <v>255</v>
      </c>
      <c r="B1204" s="1">
        <f t="shared" si="72"/>
        <v>45167</v>
      </c>
      <c r="C1204" s="1" t="str">
        <f t="shared" si="73"/>
        <v>Tuesday</v>
      </c>
      <c r="D1204" s="1" t="str">
        <f t="shared" si="74"/>
        <v>August</v>
      </c>
      <c r="E1204" s="1" t="str">
        <f t="shared" si="75"/>
        <v>2023</v>
      </c>
      <c r="F1204" t="s">
        <v>11</v>
      </c>
      <c r="G1204" s="5">
        <v>883.69257743100002</v>
      </c>
      <c r="H1204" s="10">
        <v>15</v>
      </c>
      <c r="I1204" s="2">
        <v>246.905410074375</v>
      </c>
      <c r="J1204" t="s">
        <v>14</v>
      </c>
    </row>
    <row r="1205" spans="1:10" x14ac:dyDescent="0.25">
      <c r="A1205" t="s">
        <v>255</v>
      </c>
      <c r="B1205" s="1">
        <f t="shared" si="72"/>
        <v>45167</v>
      </c>
      <c r="C1205" s="1" t="str">
        <f t="shared" si="73"/>
        <v>Tuesday</v>
      </c>
      <c r="D1205" s="1" t="str">
        <f t="shared" si="74"/>
        <v>August</v>
      </c>
      <c r="E1205" s="1" t="str">
        <f t="shared" si="75"/>
        <v>2023</v>
      </c>
      <c r="F1205" t="s">
        <v>13</v>
      </c>
      <c r="G1205" s="5">
        <v>875.91533111700005</v>
      </c>
      <c r="H1205" s="10">
        <v>15</v>
      </c>
      <c r="I1205" s="2">
        <v>312.21276816449802</v>
      </c>
      <c r="J1205" t="s">
        <v>8</v>
      </c>
    </row>
    <row r="1206" spans="1:10" x14ac:dyDescent="0.25">
      <c r="A1206" t="s">
        <v>255</v>
      </c>
      <c r="B1206" s="1">
        <f t="shared" si="72"/>
        <v>45167</v>
      </c>
      <c r="C1206" s="1" t="str">
        <f t="shared" si="73"/>
        <v>Tuesday</v>
      </c>
      <c r="D1206" s="1" t="str">
        <f t="shared" si="74"/>
        <v>August</v>
      </c>
      <c r="E1206" s="1" t="str">
        <f t="shared" si="75"/>
        <v>2023</v>
      </c>
      <c r="F1206" t="s">
        <v>16</v>
      </c>
      <c r="G1206" s="5">
        <v>287.71439864000001</v>
      </c>
      <c r="H1206" s="10">
        <v>15</v>
      </c>
      <c r="I1206" s="2">
        <v>72.258145290414802</v>
      </c>
      <c r="J1206" t="s">
        <v>8</v>
      </c>
    </row>
    <row r="1207" spans="1:10" x14ac:dyDescent="0.25">
      <c r="A1207" t="s">
        <v>256</v>
      </c>
      <c r="B1207" s="1">
        <f t="shared" si="72"/>
        <v>45168</v>
      </c>
      <c r="C1207" s="1" t="str">
        <f t="shared" si="73"/>
        <v>Wednesday</v>
      </c>
      <c r="D1207" s="1" t="str">
        <f t="shared" si="74"/>
        <v>August</v>
      </c>
      <c r="E1207" s="1" t="str">
        <f t="shared" si="75"/>
        <v>2023</v>
      </c>
      <c r="F1207" t="s">
        <v>7</v>
      </c>
      <c r="G1207" s="5">
        <v>898.39259823436998</v>
      </c>
      <c r="H1207" s="10">
        <v>3</v>
      </c>
      <c r="I1207" s="2">
        <v>109.016980365717</v>
      </c>
      <c r="J1207" t="s">
        <v>10</v>
      </c>
    </row>
    <row r="1208" spans="1:10" x14ac:dyDescent="0.25">
      <c r="A1208" t="s">
        <v>256</v>
      </c>
      <c r="B1208" s="1">
        <f t="shared" si="72"/>
        <v>45168</v>
      </c>
      <c r="C1208" s="1" t="str">
        <f t="shared" si="73"/>
        <v>Wednesday</v>
      </c>
      <c r="D1208" s="1" t="str">
        <f t="shared" si="74"/>
        <v>August</v>
      </c>
      <c r="E1208" s="1" t="str">
        <f t="shared" si="75"/>
        <v>2023</v>
      </c>
      <c r="F1208" t="s">
        <v>9</v>
      </c>
      <c r="G1208" s="5">
        <v>16.718723843999999</v>
      </c>
      <c r="H1208" s="10">
        <v>9</v>
      </c>
      <c r="I1208" s="2">
        <v>283.42304471922603</v>
      </c>
      <c r="J1208" t="s">
        <v>8</v>
      </c>
    </row>
    <row r="1209" spans="1:10" x14ac:dyDescent="0.25">
      <c r="A1209" t="s">
        <v>256</v>
      </c>
      <c r="B1209" s="1">
        <f t="shared" si="72"/>
        <v>45168</v>
      </c>
      <c r="C1209" s="1" t="str">
        <f t="shared" si="73"/>
        <v>Wednesday</v>
      </c>
      <c r="D1209" s="1" t="str">
        <f t="shared" si="74"/>
        <v>August</v>
      </c>
      <c r="E1209" s="1" t="str">
        <f t="shared" si="75"/>
        <v>2023</v>
      </c>
      <c r="F1209" t="s">
        <v>11</v>
      </c>
      <c r="G1209" s="5">
        <v>12.48378233</v>
      </c>
      <c r="H1209" s="10">
        <v>7</v>
      </c>
      <c r="I1209" s="2">
        <v>129.723712590042</v>
      </c>
      <c r="J1209" t="s">
        <v>12</v>
      </c>
    </row>
    <row r="1210" spans="1:10" x14ac:dyDescent="0.25">
      <c r="A1210" t="s">
        <v>256</v>
      </c>
      <c r="B1210" s="1">
        <f t="shared" si="72"/>
        <v>45168</v>
      </c>
      <c r="C1210" s="1" t="str">
        <f t="shared" si="73"/>
        <v>Wednesday</v>
      </c>
      <c r="D1210" s="1" t="str">
        <f t="shared" si="74"/>
        <v>August</v>
      </c>
      <c r="E1210" s="1" t="str">
        <f t="shared" si="75"/>
        <v>2023</v>
      </c>
      <c r="F1210" t="s">
        <v>13</v>
      </c>
      <c r="G1210" s="5">
        <v>25.271371988199999</v>
      </c>
      <c r="H1210" s="10">
        <v>10</v>
      </c>
      <c r="I1210" s="2">
        <v>78.780885954615997</v>
      </c>
      <c r="J1210" t="s">
        <v>12</v>
      </c>
    </row>
    <row r="1211" spans="1:10" x14ac:dyDescent="0.25">
      <c r="A1211" t="s">
        <v>256</v>
      </c>
      <c r="B1211" s="1">
        <f t="shared" si="72"/>
        <v>45168</v>
      </c>
      <c r="C1211" s="1" t="str">
        <f t="shared" si="73"/>
        <v>Wednesday</v>
      </c>
      <c r="D1211" s="1" t="str">
        <f t="shared" si="74"/>
        <v>August</v>
      </c>
      <c r="E1211" s="1" t="str">
        <f t="shared" si="75"/>
        <v>2023</v>
      </c>
      <c r="F1211" t="s">
        <v>16</v>
      </c>
      <c r="G1211" s="5">
        <v>145.45871368300001</v>
      </c>
      <c r="H1211" s="10">
        <v>8</v>
      </c>
      <c r="I1211" s="2">
        <v>265.60736852610898</v>
      </c>
      <c r="J1211" t="s">
        <v>8</v>
      </c>
    </row>
    <row r="1212" spans="1:10" x14ac:dyDescent="0.25">
      <c r="A1212" t="s">
        <v>257</v>
      </c>
      <c r="B1212" s="1">
        <f t="shared" si="72"/>
        <v>45169</v>
      </c>
      <c r="C1212" s="1" t="str">
        <f t="shared" si="73"/>
        <v>Thursday</v>
      </c>
      <c r="D1212" s="1" t="str">
        <f t="shared" si="74"/>
        <v>August</v>
      </c>
      <c r="E1212" s="1" t="str">
        <f t="shared" si="75"/>
        <v>2023</v>
      </c>
      <c r="F1212" t="s">
        <v>7</v>
      </c>
      <c r="G1212" s="5">
        <v>1193.5573761184</v>
      </c>
      <c r="H1212" s="10">
        <v>14</v>
      </c>
      <c r="I1212" s="2">
        <v>207.384492659579</v>
      </c>
      <c r="J1212" t="s">
        <v>8</v>
      </c>
    </row>
    <row r="1213" spans="1:10" x14ac:dyDescent="0.25">
      <c r="A1213" t="s">
        <v>257</v>
      </c>
      <c r="B1213" s="1">
        <f t="shared" si="72"/>
        <v>45169</v>
      </c>
      <c r="C1213" s="1" t="str">
        <f t="shared" si="73"/>
        <v>Thursday</v>
      </c>
      <c r="D1213" s="1" t="str">
        <f t="shared" si="74"/>
        <v>August</v>
      </c>
      <c r="E1213" s="1" t="str">
        <f t="shared" si="75"/>
        <v>2023</v>
      </c>
      <c r="F1213" t="s">
        <v>9</v>
      </c>
      <c r="G1213" s="5">
        <v>1223.4974258842201</v>
      </c>
      <c r="H1213" s="10">
        <v>11</v>
      </c>
      <c r="I1213" s="2">
        <v>375.88030314789398</v>
      </c>
      <c r="J1213" t="s">
        <v>8</v>
      </c>
    </row>
    <row r="1214" spans="1:10" x14ac:dyDescent="0.25">
      <c r="A1214" t="s">
        <v>257</v>
      </c>
      <c r="B1214" s="1">
        <f t="shared" si="72"/>
        <v>45169</v>
      </c>
      <c r="C1214" s="1" t="str">
        <f t="shared" si="73"/>
        <v>Thursday</v>
      </c>
      <c r="D1214" s="1" t="str">
        <f t="shared" si="74"/>
        <v>August</v>
      </c>
      <c r="E1214" s="1" t="str">
        <f t="shared" si="75"/>
        <v>2023</v>
      </c>
      <c r="F1214" t="s">
        <v>11</v>
      </c>
      <c r="G1214" s="5">
        <v>1293.3446650000001</v>
      </c>
      <c r="H1214" s="10">
        <v>18</v>
      </c>
      <c r="I1214" s="2">
        <v>390.22399962666202</v>
      </c>
      <c r="J1214" t="s">
        <v>10</v>
      </c>
    </row>
    <row r="1215" spans="1:10" x14ac:dyDescent="0.25">
      <c r="A1215" t="s">
        <v>257</v>
      </c>
      <c r="B1215" s="1">
        <f t="shared" si="72"/>
        <v>45169</v>
      </c>
      <c r="C1215" s="1" t="str">
        <f t="shared" si="73"/>
        <v>Thursday</v>
      </c>
      <c r="D1215" s="1" t="str">
        <f t="shared" si="74"/>
        <v>August</v>
      </c>
      <c r="E1215" s="1" t="str">
        <f t="shared" si="75"/>
        <v>2023</v>
      </c>
      <c r="F1215" t="s">
        <v>13</v>
      </c>
      <c r="G1215" s="5">
        <v>368.35917447920002</v>
      </c>
      <c r="H1215" s="10">
        <v>19</v>
      </c>
      <c r="I1215" s="2">
        <v>73.419555195166495</v>
      </c>
      <c r="J1215" t="s">
        <v>14</v>
      </c>
    </row>
    <row r="1216" spans="1:10" x14ac:dyDescent="0.25">
      <c r="A1216" t="s">
        <v>257</v>
      </c>
      <c r="B1216" s="1">
        <f t="shared" si="72"/>
        <v>45169</v>
      </c>
      <c r="C1216" s="1" t="str">
        <f t="shared" si="73"/>
        <v>Thursday</v>
      </c>
      <c r="D1216" s="1" t="str">
        <f t="shared" si="74"/>
        <v>August</v>
      </c>
      <c r="E1216" s="1" t="str">
        <f t="shared" si="75"/>
        <v>2023</v>
      </c>
      <c r="F1216" t="s">
        <v>16</v>
      </c>
      <c r="G1216" s="5">
        <v>27.736961968879999</v>
      </c>
      <c r="H1216" s="10">
        <v>1</v>
      </c>
      <c r="I1216" s="2">
        <v>22.1577078415723</v>
      </c>
      <c r="J1216" t="s">
        <v>8</v>
      </c>
    </row>
    <row r="1217" spans="1:10" x14ac:dyDescent="0.25">
      <c r="A1217" t="s">
        <v>258</v>
      </c>
      <c r="B1217" s="1">
        <f t="shared" si="72"/>
        <v>45170</v>
      </c>
      <c r="C1217" s="1" t="str">
        <f t="shared" si="73"/>
        <v>Friday</v>
      </c>
      <c r="D1217" s="1" t="str">
        <f t="shared" si="74"/>
        <v>September</v>
      </c>
      <c r="E1217" s="1" t="str">
        <f t="shared" si="75"/>
        <v>2023</v>
      </c>
      <c r="F1217" t="s">
        <v>7</v>
      </c>
      <c r="G1217" s="5">
        <v>92.968639736618002</v>
      </c>
      <c r="H1217" s="10">
        <v>2</v>
      </c>
      <c r="I1217" s="2">
        <v>101.51934350000001</v>
      </c>
      <c r="J1217" t="s">
        <v>12</v>
      </c>
    </row>
    <row r="1218" spans="1:10" x14ac:dyDescent="0.25">
      <c r="A1218" t="s">
        <v>258</v>
      </c>
      <c r="B1218" s="1">
        <f t="shared" si="72"/>
        <v>45170</v>
      </c>
      <c r="C1218" s="1" t="str">
        <f t="shared" si="73"/>
        <v>Friday</v>
      </c>
      <c r="D1218" s="1" t="str">
        <f t="shared" si="74"/>
        <v>September</v>
      </c>
      <c r="E1218" s="1" t="str">
        <f t="shared" si="75"/>
        <v>2023</v>
      </c>
      <c r="F1218" t="s">
        <v>9</v>
      </c>
      <c r="G1218" s="5">
        <v>1459.58559659</v>
      </c>
      <c r="H1218" s="10">
        <v>16</v>
      </c>
      <c r="I1218" s="2">
        <v>196.13552240883101</v>
      </c>
      <c r="J1218" t="s">
        <v>8</v>
      </c>
    </row>
    <row r="1219" spans="1:10" x14ac:dyDescent="0.25">
      <c r="A1219" t="s">
        <v>258</v>
      </c>
      <c r="B1219" s="1">
        <f t="shared" ref="B1219:B1282" si="76">DATE(VALUE(RIGHT(A1219,4)),VALUE(LEFT(A1219,FIND("/",A1219)-1)),VALUE(MID(A1219,FIND("/",A1219)+1,FIND("/",A1219,FIND("/",A1219)+1)-FIND("/",A1219)-1)))</f>
        <v>45170</v>
      </c>
      <c r="C1219" s="1" t="str">
        <f t="shared" ref="C1219:C1282" si="77">TEXT(B1219,"DDDD")</f>
        <v>Friday</v>
      </c>
      <c r="D1219" s="1" t="str">
        <f t="shared" ref="D1219:D1282" si="78">TEXT(B1219,"MMMM")</f>
        <v>September</v>
      </c>
      <c r="E1219" s="1" t="str">
        <f t="shared" ref="E1219:E1282" si="79">TEXT(B1219,"YYYY")</f>
        <v>2023</v>
      </c>
      <c r="F1219" t="s">
        <v>11</v>
      </c>
      <c r="G1219" s="5">
        <v>1199.4781486951999</v>
      </c>
      <c r="H1219" s="10">
        <v>13</v>
      </c>
      <c r="I1219" s="2">
        <v>180.94275116114201</v>
      </c>
      <c r="J1219" t="s">
        <v>14</v>
      </c>
    </row>
    <row r="1220" spans="1:10" x14ac:dyDescent="0.25">
      <c r="A1220" t="s">
        <v>258</v>
      </c>
      <c r="B1220" s="1">
        <f t="shared" si="76"/>
        <v>45170</v>
      </c>
      <c r="C1220" s="1" t="str">
        <f t="shared" si="77"/>
        <v>Friday</v>
      </c>
      <c r="D1220" s="1" t="str">
        <f t="shared" si="78"/>
        <v>September</v>
      </c>
      <c r="E1220" s="1" t="str">
        <f t="shared" si="79"/>
        <v>2023</v>
      </c>
      <c r="F1220" t="s">
        <v>13</v>
      </c>
      <c r="G1220" s="5">
        <v>1148.8597562898999</v>
      </c>
      <c r="H1220" s="10">
        <v>2</v>
      </c>
      <c r="I1220" s="2">
        <v>317.440411567274</v>
      </c>
      <c r="J1220" t="s">
        <v>8</v>
      </c>
    </row>
    <row r="1221" spans="1:10" x14ac:dyDescent="0.25">
      <c r="A1221" t="s">
        <v>258</v>
      </c>
      <c r="B1221" s="1">
        <f t="shared" si="76"/>
        <v>45170</v>
      </c>
      <c r="C1221" s="1" t="str">
        <f t="shared" si="77"/>
        <v>Friday</v>
      </c>
      <c r="D1221" s="1" t="str">
        <f t="shared" si="78"/>
        <v>September</v>
      </c>
      <c r="E1221" s="1" t="str">
        <f t="shared" si="79"/>
        <v>2023</v>
      </c>
      <c r="F1221" t="s">
        <v>16</v>
      </c>
      <c r="G1221" s="5">
        <v>839.44986229719996</v>
      </c>
      <c r="H1221" s="10">
        <v>18</v>
      </c>
      <c r="I1221" s="2">
        <v>167.541828467394</v>
      </c>
      <c r="J1221" t="s">
        <v>14</v>
      </c>
    </row>
    <row r="1222" spans="1:10" x14ac:dyDescent="0.25">
      <c r="A1222" t="s">
        <v>259</v>
      </c>
      <c r="B1222" s="1">
        <f t="shared" si="76"/>
        <v>45171</v>
      </c>
      <c r="C1222" s="1" t="str">
        <f t="shared" si="77"/>
        <v>Saturday</v>
      </c>
      <c r="D1222" s="1" t="str">
        <f t="shared" si="78"/>
        <v>September</v>
      </c>
      <c r="E1222" s="1" t="str">
        <f t="shared" si="79"/>
        <v>2023</v>
      </c>
      <c r="F1222" t="s">
        <v>7</v>
      </c>
      <c r="G1222" s="5">
        <v>945.54858684110002</v>
      </c>
      <c r="H1222" s="10">
        <v>11</v>
      </c>
      <c r="I1222" s="2">
        <v>333.72392702620101</v>
      </c>
      <c r="J1222" t="s">
        <v>10</v>
      </c>
    </row>
    <row r="1223" spans="1:10" x14ac:dyDescent="0.25">
      <c r="A1223" t="s">
        <v>259</v>
      </c>
      <c r="B1223" s="1">
        <f t="shared" si="76"/>
        <v>45171</v>
      </c>
      <c r="C1223" s="1" t="str">
        <f t="shared" si="77"/>
        <v>Saturday</v>
      </c>
      <c r="D1223" s="1" t="str">
        <f t="shared" si="78"/>
        <v>September</v>
      </c>
      <c r="E1223" s="1" t="str">
        <f t="shared" si="79"/>
        <v>2023</v>
      </c>
      <c r="F1223" t="s">
        <v>9</v>
      </c>
      <c r="G1223" s="5">
        <v>892.99859746380002</v>
      </c>
      <c r="H1223" s="10">
        <v>14</v>
      </c>
      <c r="I1223" s="2">
        <v>346.91612090000001</v>
      </c>
      <c r="J1223" t="s">
        <v>8</v>
      </c>
    </row>
    <row r="1224" spans="1:10" x14ac:dyDescent="0.25">
      <c r="A1224" t="s">
        <v>259</v>
      </c>
      <c r="B1224" s="1">
        <f t="shared" si="76"/>
        <v>45171</v>
      </c>
      <c r="C1224" s="1" t="str">
        <f t="shared" si="77"/>
        <v>Saturday</v>
      </c>
      <c r="D1224" s="1" t="str">
        <f t="shared" si="78"/>
        <v>September</v>
      </c>
      <c r="E1224" s="1" t="str">
        <f t="shared" si="79"/>
        <v>2023</v>
      </c>
      <c r="F1224" t="s">
        <v>11</v>
      </c>
      <c r="G1224" s="5">
        <v>849.46474215653996</v>
      </c>
      <c r="H1224" s="10">
        <v>19</v>
      </c>
      <c r="I1224" s="2">
        <v>273.446836823436</v>
      </c>
      <c r="J1224" t="s">
        <v>12</v>
      </c>
    </row>
    <row r="1225" spans="1:10" x14ac:dyDescent="0.25">
      <c r="A1225" t="s">
        <v>259</v>
      </c>
      <c r="B1225" s="1">
        <f t="shared" si="76"/>
        <v>45171</v>
      </c>
      <c r="C1225" s="1" t="str">
        <f t="shared" si="77"/>
        <v>Saturday</v>
      </c>
      <c r="D1225" s="1" t="str">
        <f t="shared" si="78"/>
        <v>September</v>
      </c>
      <c r="E1225" s="1" t="str">
        <f t="shared" si="79"/>
        <v>2023</v>
      </c>
      <c r="F1225" t="s">
        <v>13</v>
      </c>
      <c r="G1225" s="5">
        <v>588.26335634768998</v>
      </c>
      <c r="H1225" s="10">
        <v>19</v>
      </c>
      <c r="I1225" s="2">
        <v>117.803729025327</v>
      </c>
      <c r="J1225" t="s">
        <v>10</v>
      </c>
    </row>
    <row r="1226" spans="1:10" x14ac:dyDescent="0.25">
      <c r="A1226" t="s">
        <v>259</v>
      </c>
      <c r="B1226" s="1">
        <f t="shared" si="76"/>
        <v>45171</v>
      </c>
      <c r="C1226" s="1" t="str">
        <f t="shared" si="77"/>
        <v>Saturday</v>
      </c>
      <c r="D1226" s="1" t="str">
        <f t="shared" si="78"/>
        <v>September</v>
      </c>
      <c r="E1226" s="1" t="str">
        <f t="shared" si="79"/>
        <v>2023</v>
      </c>
      <c r="F1226" t="s">
        <v>16</v>
      </c>
      <c r="G1226" s="5">
        <v>1281.4947147893499</v>
      </c>
      <c r="H1226" s="10">
        <v>1</v>
      </c>
      <c r="I1226" s="2">
        <v>448.24574757558298</v>
      </c>
      <c r="J1226" t="s">
        <v>10</v>
      </c>
    </row>
    <row r="1227" spans="1:10" x14ac:dyDescent="0.25">
      <c r="A1227" t="s">
        <v>260</v>
      </c>
      <c r="B1227" s="1">
        <f t="shared" si="76"/>
        <v>45172</v>
      </c>
      <c r="C1227" s="1" t="str">
        <f t="shared" si="77"/>
        <v>Sunday</v>
      </c>
      <c r="D1227" s="1" t="str">
        <f t="shared" si="78"/>
        <v>September</v>
      </c>
      <c r="E1227" s="1" t="str">
        <f t="shared" si="79"/>
        <v>2023</v>
      </c>
      <c r="F1227" t="s">
        <v>7</v>
      </c>
      <c r="G1227" s="5">
        <v>723.62646656712798</v>
      </c>
      <c r="H1227" s="10">
        <v>17</v>
      </c>
      <c r="I1227" s="2">
        <v>280.15856361277503</v>
      </c>
      <c r="J1227" t="s">
        <v>10</v>
      </c>
    </row>
    <row r="1228" spans="1:10" x14ac:dyDescent="0.25">
      <c r="A1228" t="s">
        <v>260</v>
      </c>
      <c r="B1228" s="1">
        <f t="shared" si="76"/>
        <v>45172</v>
      </c>
      <c r="C1228" s="1" t="str">
        <f t="shared" si="77"/>
        <v>Sunday</v>
      </c>
      <c r="D1228" s="1" t="str">
        <f t="shared" si="78"/>
        <v>September</v>
      </c>
      <c r="E1228" s="1" t="str">
        <f t="shared" si="79"/>
        <v>2023</v>
      </c>
      <c r="F1228" t="s">
        <v>9</v>
      </c>
      <c r="G1228" s="5">
        <v>924.94365378509997</v>
      </c>
      <c r="H1228" s="10">
        <v>16</v>
      </c>
      <c r="I1228" s="2">
        <v>280.00670004522601</v>
      </c>
      <c r="J1228" t="s">
        <v>12</v>
      </c>
    </row>
    <row r="1229" spans="1:10" x14ac:dyDescent="0.25">
      <c r="A1229" t="s">
        <v>260</v>
      </c>
      <c r="B1229" s="1">
        <f t="shared" si="76"/>
        <v>45172</v>
      </c>
      <c r="C1229" s="1" t="str">
        <f t="shared" si="77"/>
        <v>Sunday</v>
      </c>
      <c r="D1229" s="1" t="str">
        <f t="shared" si="78"/>
        <v>September</v>
      </c>
      <c r="E1229" s="1" t="str">
        <f t="shared" si="79"/>
        <v>2023</v>
      </c>
      <c r="F1229" t="s">
        <v>11</v>
      </c>
      <c r="G1229" s="5">
        <v>679.11953222249997</v>
      </c>
      <c r="H1229" s="10">
        <v>16</v>
      </c>
      <c r="I1229" s="2">
        <v>196.80535626507199</v>
      </c>
      <c r="J1229" t="s">
        <v>10</v>
      </c>
    </row>
    <row r="1230" spans="1:10" x14ac:dyDescent="0.25">
      <c r="A1230" t="s">
        <v>260</v>
      </c>
      <c r="B1230" s="1">
        <f t="shared" si="76"/>
        <v>45172</v>
      </c>
      <c r="C1230" s="1" t="str">
        <f t="shared" si="77"/>
        <v>Sunday</v>
      </c>
      <c r="D1230" s="1" t="str">
        <f t="shared" si="78"/>
        <v>September</v>
      </c>
      <c r="E1230" s="1" t="str">
        <f t="shared" si="79"/>
        <v>2023</v>
      </c>
      <c r="F1230" t="s">
        <v>13</v>
      </c>
      <c r="G1230" s="5">
        <v>699.68133598467</v>
      </c>
      <c r="H1230" s="10">
        <v>12</v>
      </c>
      <c r="I1230" s="2">
        <v>223.23475479235299</v>
      </c>
      <c r="J1230" t="s">
        <v>12</v>
      </c>
    </row>
    <row r="1231" spans="1:10" x14ac:dyDescent="0.25">
      <c r="A1231" t="s">
        <v>260</v>
      </c>
      <c r="B1231" s="1">
        <f t="shared" si="76"/>
        <v>45172</v>
      </c>
      <c r="C1231" s="1" t="str">
        <f t="shared" si="77"/>
        <v>Sunday</v>
      </c>
      <c r="D1231" s="1" t="str">
        <f t="shared" si="78"/>
        <v>September</v>
      </c>
      <c r="E1231" s="1" t="str">
        <f t="shared" si="79"/>
        <v>2023</v>
      </c>
      <c r="F1231" t="s">
        <v>16</v>
      </c>
      <c r="G1231" s="5">
        <v>914.89459189655395</v>
      </c>
      <c r="H1231" s="10">
        <v>8</v>
      </c>
      <c r="I1231" s="2">
        <v>126.503438030449</v>
      </c>
      <c r="J1231" t="s">
        <v>8</v>
      </c>
    </row>
    <row r="1232" spans="1:10" x14ac:dyDescent="0.25">
      <c r="A1232" t="s">
        <v>261</v>
      </c>
      <c r="B1232" s="1">
        <f t="shared" si="76"/>
        <v>45173</v>
      </c>
      <c r="C1232" s="1" t="str">
        <f t="shared" si="77"/>
        <v>Monday</v>
      </c>
      <c r="D1232" s="1" t="str">
        <f t="shared" si="78"/>
        <v>September</v>
      </c>
      <c r="E1232" s="1" t="str">
        <f t="shared" si="79"/>
        <v>2023</v>
      </c>
      <c r="F1232" t="s">
        <v>7</v>
      </c>
      <c r="G1232" s="5">
        <v>825.46538998238304</v>
      </c>
      <c r="H1232" s="10">
        <v>11</v>
      </c>
      <c r="I1232" s="2">
        <v>256.07393870749502</v>
      </c>
      <c r="J1232" t="s">
        <v>14</v>
      </c>
    </row>
    <row r="1233" spans="1:10" x14ac:dyDescent="0.25">
      <c r="A1233" t="s">
        <v>261</v>
      </c>
      <c r="B1233" s="1">
        <f t="shared" si="76"/>
        <v>45173</v>
      </c>
      <c r="C1233" s="1" t="str">
        <f t="shared" si="77"/>
        <v>Monday</v>
      </c>
      <c r="D1233" s="1" t="str">
        <f t="shared" si="78"/>
        <v>September</v>
      </c>
      <c r="E1233" s="1" t="str">
        <f t="shared" si="79"/>
        <v>2023</v>
      </c>
      <c r="F1233" t="s">
        <v>9</v>
      </c>
      <c r="G1233" s="5">
        <v>647.83616773799997</v>
      </c>
      <c r="H1233" s="10">
        <v>13</v>
      </c>
      <c r="I1233" s="2">
        <v>180.18534381243899</v>
      </c>
      <c r="J1233" t="s">
        <v>10</v>
      </c>
    </row>
    <row r="1234" spans="1:10" x14ac:dyDescent="0.25">
      <c r="A1234" t="s">
        <v>261</v>
      </c>
      <c r="B1234" s="1">
        <f t="shared" si="76"/>
        <v>45173</v>
      </c>
      <c r="C1234" s="1" t="str">
        <f t="shared" si="77"/>
        <v>Monday</v>
      </c>
      <c r="D1234" s="1" t="str">
        <f t="shared" si="78"/>
        <v>September</v>
      </c>
      <c r="E1234" s="1" t="str">
        <f t="shared" si="79"/>
        <v>2023</v>
      </c>
      <c r="F1234" t="s">
        <v>11</v>
      </c>
      <c r="G1234" s="5">
        <v>1222.9936388628701</v>
      </c>
      <c r="H1234" s="10">
        <v>7</v>
      </c>
      <c r="I1234" s="2">
        <v>325.36710236472197</v>
      </c>
      <c r="J1234" t="s">
        <v>8</v>
      </c>
    </row>
    <row r="1235" spans="1:10" x14ac:dyDescent="0.25">
      <c r="A1235" t="s">
        <v>261</v>
      </c>
      <c r="B1235" s="1">
        <f t="shared" si="76"/>
        <v>45173</v>
      </c>
      <c r="C1235" s="1" t="str">
        <f t="shared" si="77"/>
        <v>Monday</v>
      </c>
      <c r="D1235" s="1" t="str">
        <f t="shared" si="78"/>
        <v>September</v>
      </c>
      <c r="E1235" s="1" t="str">
        <f t="shared" si="79"/>
        <v>2023</v>
      </c>
      <c r="F1235" t="s">
        <v>13</v>
      </c>
      <c r="G1235" s="5">
        <v>633.55148182999994</v>
      </c>
      <c r="H1235" s="10">
        <v>12</v>
      </c>
      <c r="I1235" s="2">
        <v>103.28926508455901</v>
      </c>
      <c r="J1235" t="s">
        <v>10</v>
      </c>
    </row>
    <row r="1236" spans="1:10" x14ac:dyDescent="0.25">
      <c r="A1236" t="s">
        <v>261</v>
      </c>
      <c r="B1236" s="1">
        <f t="shared" si="76"/>
        <v>45173</v>
      </c>
      <c r="C1236" s="1" t="str">
        <f t="shared" si="77"/>
        <v>Monday</v>
      </c>
      <c r="D1236" s="1" t="str">
        <f t="shared" si="78"/>
        <v>September</v>
      </c>
      <c r="E1236" s="1" t="str">
        <f t="shared" si="79"/>
        <v>2023</v>
      </c>
      <c r="F1236" t="s">
        <v>16</v>
      </c>
      <c r="G1236" s="5">
        <v>838.98366975910005</v>
      </c>
      <c r="H1236" s="10">
        <v>7</v>
      </c>
      <c r="I1236" s="2">
        <v>280.27386692586401</v>
      </c>
      <c r="J1236" t="s">
        <v>14</v>
      </c>
    </row>
    <row r="1237" spans="1:10" x14ac:dyDescent="0.25">
      <c r="A1237" t="s">
        <v>262</v>
      </c>
      <c r="B1237" s="1">
        <f t="shared" si="76"/>
        <v>45174</v>
      </c>
      <c r="C1237" s="1" t="str">
        <f t="shared" si="77"/>
        <v>Tuesday</v>
      </c>
      <c r="D1237" s="1" t="str">
        <f t="shared" si="78"/>
        <v>September</v>
      </c>
      <c r="E1237" s="1" t="str">
        <f t="shared" si="79"/>
        <v>2023</v>
      </c>
      <c r="F1237" t="s">
        <v>7</v>
      </c>
      <c r="G1237" s="5">
        <v>1214.8332942432</v>
      </c>
      <c r="H1237" s="10">
        <v>6</v>
      </c>
      <c r="I1237" s="2">
        <v>241.95626594511501</v>
      </c>
      <c r="J1237" t="s">
        <v>8</v>
      </c>
    </row>
    <row r="1238" spans="1:10" x14ac:dyDescent="0.25">
      <c r="A1238" t="s">
        <v>262</v>
      </c>
      <c r="B1238" s="1">
        <f t="shared" si="76"/>
        <v>45174</v>
      </c>
      <c r="C1238" s="1" t="str">
        <f t="shared" si="77"/>
        <v>Tuesday</v>
      </c>
      <c r="D1238" s="1" t="str">
        <f t="shared" si="78"/>
        <v>September</v>
      </c>
      <c r="E1238" s="1" t="str">
        <f t="shared" si="79"/>
        <v>2023</v>
      </c>
      <c r="F1238" t="s">
        <v>9</v>
      </c>
      <c r="G1238" s="5">
        <v>1412.9489355860001</v>
      </c>
      <c r="H1238" s="10">
        <v>8</v>
      </c>
      <c r="I1238" s="2">
        <v>399.91029510450699</v>
      </c>
      <c r="J1238" t="s">
        <v>8</v>
      </c>
    </row>
    <row r="1239" spans="1:10" x14ac:dyDescent="0.25">
      <c r="A1239" t="s">
        <v>262</v>
      </c>
      <c r="B1239" s="1">
        <f t="shared" si="76"/>
        <v>45174</v>
      </c>
      <c r="C1239" s="1" t="str">
        <f t="shared" si="77"/>
        <v>Tuesday</v>
      </c>
      <c r="D1239" s="1" t="str">
        <f t="shared" si="78"/>
        <v>September</v>
      </c>
      <c r="E1239" s="1" t="str">
        <f t="shared" si="79"/>
        <v>2023</v>
      </c>
      <c r="F1239" t="s">
        <v>11</v>
      </c>
      <c r="G1239" s="5">
        <v>193.939642394</v>
      </c>
      <c r="H1239" s="10">
        <v>17</v>
      </c>
      <c r="I1239" s="2">
        <v>153.10192626261099</v>
      </c>
      <c r="J1239" t="s">
        <v>8</v>
      </c>
    </row>
    <row r="1240" spans="1:10" x14ac:dyDescent="0.25">
      <c r="A1240" t="s">
        <v>262</v>
      </c>
      <c r="B1240" s="1">
        <f t="shared" si="76"/>
        <v>45174</v>
      </c>
      <c r="C1240" s="1" t="str">
        <f t="shared" si="77"/>
        <v>Tuesday</v>
      </c>
      <c r="D1240" s="1" t="str">
        <f t="shared" si="78"/>
        <v>September</v>
      </c>
      <c r="E1240" s="1" t="str">
        <f t="shared" si="79"/>
        <v>2023</v>
      </c>
      <c r="F1240" t="s">
        <v>13</v>
      </c>
      <c r="G1240" s="5">
        <v>721.48849953334002</v>
      </c>
      <c r="H1240" s="10">
        <v>18</v>
      </c>
      <c r="I1240" s="2">
        <v>162.085435213594</v>
      </c>
      <c r="J1240" t="s">
        <v>10</v>
      </c>
    </row>
    <row r="1241" spans="1:10" x14ac:dyDescent="0.25">
      <c r="A1241" t="s">
        <v>262</v>
      </c>
      <c r="B1241" s="1">
        <f t="shared" si="76"/>
        <v>45174</v>
      </c>
      <c r="C1241" s="1" t="str">
        <f t="shared" si="77"/>
        <v>Tuesday</v>
      </c>
      <c r="D1241" s="1" t="str">
        <f t="shared" si="78"/>
        <v>September</v>
      </c>
      <c r="E1241" s="1" t="str">
        <f t="shared" si="79"/>
        <v>2023</v>
      </c>
      <c r="F1241" t="s">
        <v>16</v>
      </c>
      <c r="G1241" s="5">
        <v>117.32712312581999</v>
      </c>
      <c r="H1241" s="10">
        <v>6</v>
      </c>
      <c r="I1241" s="2">
        <v>149.09106277203199</v>
      </c>
      <c r="J1241" t="s">
        <v>10</v>
      </c>
    </row>
    <row r="1242" spans="1:10" x14ac:dyDescent="0.25">
      <c r="A1242" t="s">
        <v>263</v>
      </c>
      <c r="B1242" s="1">
        <f t="shared" si="76"/>
        <v>45175</v>
      </c>
      <c r="C1242" s="1" t="str">
        <f t="shared" si="77"/>
        <v>Wednesday</v>
      </c>
      <c r="D1242" s="1" t="str">
        <f t="shared" si="78"/>
        <v>September</v>
      </c>
      <c r="E1242" s="1" t="str">
        <f t="shared" si="79"/>
        <v>2023</v>
      </c>
      <c r="F1242" t="s">
        <v>7</v>
      </c>
      <c r="G1242" s="5">
        <v>1192.1628852243</v>
      </c>
      <c r="H1242" s="10">
        <v>3</v>
      </c>
      <c r="I1242" s="2">
        <v>140.99779525022601</v>
      </c>
      <c r="J1242" t="s">
        <v>10</v>
      </c>
    </row>
    <row r="1243" spans="1:10" x14ac:dyDescent="0.25">
      <c r="A1243" t="s">
        <v>263</v>
      </c>
      <c r="B1243" s="1">
        <f t="shared" si="76"/>
        <v>45175</v>
      </c>
      <c r="C1243" s="1" t="str">
        <f t="shared" si="77"/>
        <v>Wednesday</v>
      </c>
      <c r="D1243" s="1" t="str">
        <f t="shared" si="78"/>
        <v>September</v>
      </c>
      <c r="E1243" s="1" t="str">
        <f t="shared" si="79"/>
        <v>2023</v>
      </c>
      <c r="F1243" t="s">
        <v>9</v>
      </c>
      <c r="G1243" s="5">
        <v>136.92346496850001</v>
      </c>
      <c r="H1243" s="10">
        <v>18</v>
      </c>
      <c r="I1243" s="2">
        <v>325.93016874704699</v>
      </c>
      <c r="J1243" t="s">
        <v>14</v>
      </c>
    </row>
    <row r="1244" spans="1:10" x14ac:dyDescent="0.25">
      <c r="A1244" t="s">
        <v>263</v>
      </c>
      <c r="B1244" s="1">
        <f t="shared" si="76"/>
        <v>45175</v>
      </c>
      <c r="C1244" s="1" t="str">
        <f t="shared" si="77"/>
        <v>Wednesday</v>
      </c>
      <c r="D1244" s="1" t="str">
        <f t="shared" si="78"/>
        <v>September</v>
      </c>
      <c r="E1244" s="1" t="str">
        <f t="shared" si="79"/>
        <v>2023</v>
      </c>
      <c r="F1244" t="s">
        <v>11</v>
      </c>
      <c r="G1244" s="5">
        <v>1173.8256948696901</v>
      </c>
      <c r="H1244" s="10">
        <v>1</v>
      </c>
      <c r="I1244" s="2">
        <v>186.507158229743</v>
      </c>
      <c r="J1244" t="s">
        <v>8</v>
      </c>
    </row>
    <row r="1245" spans="1:10" x14ac:dyDescent="0.25">
      <c r="A1245" t="s">
        <v>263</v>
      </c>
      <c r="B1245" s="1">
        <f t="shared" si="76"/>
        <v>45175</v>
      </c>
      <c r="C1245" s="1" t="str">
        <f t="shared" si="77"/>
        <v>Wednesday</v>
      </c>
      <c r="D1245" s="1" t="str">
        <f t="shared" si="78"/>
        <v>September</v>
      </c>
      <c r="E1245" s="1" t="str">
        <f t="shared" si="79"/>
        <v>2023</v>
      </c>
      <c r="F1245" t="s">
        <v>13</v>
      </c>
      <c r="G1245" s="5">
        <v>246.749499579564</v>
      </c>
      <c r="H1245" s="10">
        <v>17</v>
      </c>
      <c r="I1245" s="2">
        <v>88.459563689392297</v>
      </c>
      <c r="J1245" t="s">
        <v>10</v>
      </c>
    </row>
    <row r="1246" spans="1:10" x14ac:dyDescent="0.25">
      <c r="A1246" t="s">
        <v>263</v>
      </c>
      <c r="B1246" s="1">
        <f t="shared" si="76"/>
        <v>45175</v>
      </c>
      <c r="C1246" s="1" t="str">
        <f t="shared" si="77"/>
        <v>Wednesday</v>
      </c>
      <c r="D1246" s="1" t="str">
        <f t="shared" si="78"/>
        <v>September</v>
      </c>
      <c r="E1246" s="1" t="str">
        <f t="shared" si="79"/>
        <v>2023</v>
      </c>
      <c r="F1246" t="s">
        <v>16</v>
      </c>
      <c r="G1246" s="5">
        <v>487.54447925220001</v>
      </c>
      <c r="H1246" s="10">
        <v>19</v>
      </c>
      <c r="I1246" s="2">
        <v>166.99298648597801</v>
      </c>
      <c r="J1246" t="s">
        <v>8</v>
      </c>
    </row>
    <row r="1247" spans="1:10" x14ac:dyDescent="0.25">
      <c r="A1247" t="s">
        <v>264</v>
      </c>
      <c r="B1247" s="1">
        <f t="shared" si="76"/>
        <v>45176</v>
      </c>
      <c r="C1247" s="1" t="str">
        <f t="shared" si="77"/>
        <v>Thursday</v>
      </c>
      <c r="D1247" s="1" t="str">
        <f t="shared" si="78"/>
        <v>September</v>
      </c>
      <c r="E1247" s="1" t="str">
        <f t="shared" si="79"/>
        <v>2023</v>
      </c>
      <c r="F1247" t="s">
        <v>7</v>
      </c>
      <c r="G1247" s="5">
        <v>1245.4518419230001</v>
      </c>
      <c r="H1247" s="10">
        <v>16</v>
      </c>
      <c r="I1247" s="2">
        <v>235.04698782346</v>
      </c>
      <c r="J1247" t="s">
        <v>8</v>
      </c>
    </row>
    <row r="1248" spans="1:10" x14ac:dyDescent="0.25">
      <c r="A1248" t="s">
        <v>264</v>
      </c>
      <c r="B1248" s="1">
        <f t="shared" si="76"/>
        <v>45176</v>
      </c>
      <c r="C1248" s="1" t="str">
        <f t="shared" si="77"/>
        <v>Thursday</v>
      </c>
      <c r="D1248" s="1" t="str">
        <f t="shared" si="78"/>
        <v>September</v>
      </c>
      <c r="E1248" s="1" t="str">
        <f t="shared" si="79"/>
        <v>2023</v>
      </c>
      <c r="F1248" t="s">
        <v>9</v>
      </c>
      <c r="G1248" s="5">
        <v>618.98167338638996</v>
      </c>
      <c r="H1248" s="10">
        <v>2</v>
      </c>
      <c r="I1248" s="2">
        <v>95.540783961535496</v>
      </c>
      <c r="J1248" t="s">
        <v>14</v>
      </c>
    </row>
    <row r="1249" spans="1:10" x14ac:dyDescent="0.25">
      <c r="A1249" t="s">
        <v>264</v>
      </c>
      <c r="B1249" s="1">
        <f t="shared" si="76"/>
        <v>45176</v>
      </c>
      <c r="C1249" s="1" t="str">
        <f t="shared" si="77"/>
        <v>Thursday</v>
      </c>
      <c r="D1249" s="1" t="str">
        <f t="shared" si="78"/>
        <v>September</v>
      </c>
      <c r="E1249" s="1" t="str">
        <f t="shared" si="79"/>
        <v>2023</v>
      </c>
      <c r="F1249" t="s">
        <v>11</v>
      </c>
      <c r="G1249" s="5">
        <v>186.867562951</v>
      </c>
      <c r="H1249" s="10">
        <v>18</v>
      </c>
      <c r="I1249" s="2">
        <v>208.446804067941</v>
      </c>
      <c r="J1249" t="s">
        <v>8</v>
      </c>
    </row>
    <row r="1250" spans="1:10" x14ac:dyDescent="0.25">
      <c r="A1250" t="s">
        <v>264</v>
      </c>
      <c r="B1250" s="1">
        <f t="shared" si="76"/>
        <v>45176</v>
      </c>
      <c r="C1250" s="1" t="str">
        <f t="shared" si="77"/>
        <v>Thursday</v>
      </c>
      <c r="D1250" s="1" t="str">
        <f t="shared" si="78"/>
        <v>September</v>
      </c>
      <c r="E1250" s="1" t="str">
        <f t="shared" si="79"/>
        <v>2023</v>
      </c>
      <c r="F1250" t="s">
        <v>13</v>
      </c>
      <c r="G1250" s="5">
        <v>148.58425195371001</v>
      </c>
      <c r="H1250" s="10">
        <v>6</v>
      </c>
      <c r="I1250" s="2">
        <v>421.41311967371303</v>
      </c>
      <c r="J1250" t="s">
        <v>14</v>
      </c>
    </row>
    <row r="1251" spans="1:10" x14ac:dyDescent="0.25">
      <c r="A1251" t="s">
        <v>264</v>
      </c>
      <c r="B1251" s="1">
        <f t="shared" si="76"/>
        <v>45176</v>
      </c>
      <c r="C1251" s="1" t="str">
        <f t="shared" si="77"/>
        <v>Thursday</v>
      </c>
      <c r="D1251" s="1" t="str">
        <f t="shared" si="78"/>
        <v>September</v>
      </c>
      <c r="E1251" s="1" t="str">
        <f t="shared" si="79"/>
        <v>2023</v>
      </c>
      <c r="F1251" t="s">
        <v>16</v>
      </c>
      <c r="G1251" s="5">
        <v>154.14868912438999</v>
      </c>
      <c r="H1251" s="10">
        <v>11</v>
      </c>
      <c r="I1251" s="2">
        <v>190.02883741991101</v>
      </c>
      <c r="J1251" t="s">
        <v>12</v>
      </c>
    </row>
    <row r="1252" spans="1:10" x14ac:dyDescent="0.25">
      <c r="A1252" t="s">
        <v>265</v>
      </c>
      <c r="B1252" s="1">
        <f t="shared" si="76"/>
        <v>45177</v>
      </c>
      <c r="C1252" s="1" t="str">
        <f t="shared" si="77"/>
        <v>Friday</v>
      </c>
      <c r="D1252" s="1" t="str">
        <f t="shared" si="78"/>
        <v>September</v>
      </c>
      <c r="E1252" s="1" t="str">
        <f t="shared" si="79"/>
        <v>2023</v>
      </c>
      <c r="F1252" t="s">
        <v>7</v>
      </c>
      <c r="G1252" s="5">
        <v>1224.3163453949001</v>
      </c>
      <c r="H1252" s="10">
        <v>18</v>
      </c>
      <c r="I1252" s="2">
        <v>226.47949579249101</v>
      </c>
      <c r="J1252" t="s">
        <v>14</v>
      </c>
    </row>
    <row r="1253" spans="1:10" x14ac:dyDescent="0.25">
      <c r="A1253" t="s">
        <v>265</v>
      </c>
      <c r="B1253" s="1">
        <f t="shared" si="76"/>
        <v>45177</v>
      </c>
      <c r="C1253" s="1" t="str">
        <f t="shared" si="77"/>
        <v>Friday</v>
      </c>
      <c r="D1253" s="1" t="str">
        <f t="shared" si="78"/>
        <v>September</v>
      </c>
      <c r="E1253" s="1" t="str">
        <f t="shared" si="79"/>
        <v>2023</v>
      </c>
      <c r="F1253" t="s">
        <v>9</v>
      </c>
      <c r="G1253" s="5">
        <v>1284.6127524791</v>
      </c>
      <c r="H1253" s="10">
        <v>9</v>
      </c>
      <c r="I1253" s="2">
        <v>361.55641789999999</v>
      </c>
      <c r="J1253" t="s">
        <v>14</v>
      </c>
    </row>
    <row r="1254" spans="1:10" x14ac:dyDescent="0.25">
      <c r="A1254" t="s">
        <v>265</v>
      </c>
      <c r="B1254" s="1">
        <f t="shared" si="76"/>
        <v>45177</v>
      </c>
      <c r="C1254" s="1" t="str">
        <f t="shared" si="77"/>
        <v>Friday</v>
      </c>
      <c r="D1254" s="1" t="str">
        <f t="shared" si="78"/>
        <v>September</v>
      </c>
      <c r="E1254" s="1" t="str">
        <f t="shared" si="79"/>
        <v>2023</v>
      </c>
      <c r="F1254" t="s">
        <v>11</v>
      </c>
      <c r="G1254" s="5">
        <v>141.76131269410001</v>
      </c>
      <c r="H1254" s="10">
        <v>9</v>
      </c>
      <c r="I1254" s="2">
        <v>263.48699055022598</v>
      </c>
      <c r="J1254" t="s">
        <v>8</v>
      </c>
    </row>
    <row r="1255" spans="1:10" x14ac:dyDescent="0.25">
      <c r="A1255" t="s">
        <v>265</v>
      </c>
      <c r="B1255" s="1">
        <f t="shared" si="76"/>
        <v>45177</v>
      </c>
      <c r="C1255" s="1" t="str">
        <f t="shared" si="77"/>
        <v>Friday</v>
      </c>
      <c r="D1255" s="1" t="str">
        <f t="shared" si="78"/>
        <v>September</v>
      </c>
      <c r="E1255" s="1" t="str">
        <f t="shared" si="79"/>
        <v>2023</v>
      </c>
      <c r="F1255" t="s">
        <v>13</v>
      </c>
      <c r="G1255" s="5">
        <v>1354.76971811826</v>
      </c>
      <c r="H1255" s="10">
        <v>16</v>
      </c>
      <c r="I1255" s="2">
        <v>270.72940502297598</v>
      </c>
      <c r="J1255" t="s">
        <v>8</v>
      </c>
    </row>
    <row r="1256" spans="1:10" x14ac:dyDescent="0.25">
      <c r="A1256" t="s">
        <v>265</v>
      </c>
      <c r="B1256" s="1">
        <f t="shared" si="76"/>
        <v>45177</v>
      </c>
      <c r="C1256" s="1" t="str">
        <f t="shared" si="77"/>
        <v>Friday</v>
      </c>
      <c r="D1256" s="1" t="str">
        <f t="shared" si="78"/>
        <v>September</v>
      </c>
      <c r="E1256" s="1" t="str">
        <f t="shared" si="79"/>
        <v>2023</v>
      </c>
      <c r="F1256" t="s">
        <v>16</v>
      </c>
      <c r="G1256" s="5">
        <v>967.79356278579496</v>
      </c>
      <c r="H1256" s="10">
        <v>15</v>
      </c>
      <c r="I1256" s="2">
        <v>289.28139419311702</v>
      </c>
      <c r="J1256" t="s">
        <v>12</v>
      </c>
    </row>
    <row r="1257" spans="1:10" x14ac:dyDescent="0.25">
      <c r="A1257" t="s">
        <v>266</v>
      </c>
      <c r="B1257" s="1">
        <f t="shared" si="76"/>
        <v>45178</v>
      </c>
      <c r="C1257" s="1" t="str">
        <f t="shared" si="77"/>
        <v>Saturday</v>
      </c>
      <c r="D1257" s="1" t="str">
        <f t="shared" si="78"/>
        <v>September</v>
      </c>
      <c r="E1257" s="1" t="str">
        <f t="shared" si="79"/>
        <v>2023</v>
      </c>
      <c r="F1257" t="s">
        <v>7</v>
      </c>
      <c r="G1257" s="5">
        <v>1299.8257983369999</v>
      </c>
      <c r="H1257" s="10">
        <v>13</v>
      </c>
      <c r="I1257" s="2">
        <v>137.37028769691099</v>
      </c>
      <c r="J1257" t="s">
        <v>8</v>
      </c>
    </row>
    <row r="1258" spans="1:10" x14ac:dyDescent="0.25">
      <c r="A1258" t="s">
        <v>266</v>
      </c>
      <c r="B1258" s="1">
        <f t="shared" si="76"/>
        <v>45178</v>
      </c>
      <c r="C1258" s="1" t="str">
        <f t="shared" si="77"/>
        <v>Saturday</v>
      </c>
      <c r="D1258" s="1" t="str">
        <f t="shared" si="78"/>
        <v>September</v>
      </c>
      <c r="E1258" s="1" t="str">
        <f t="shared" si="79"/>
        <v>2023</v>
      </c>
      <c r="F1258" t="s">
        <v>9</v>
      </c>
      <c r="G1258" s="5">
        <v>77.986348591888998</v>
      </c>
      <c r="H1258" s="10">
        <v>8</v>
      </c>
      <c r="I1258" s="2">
        <v>206.41103786923199</v>
      </c>
      <c r="J1258" t="s">
        <v>10</v>
      </c>
    </row>
    <row r="1259" spans="1:10" x14ac:dyDescent="0.25">
      <c r="A1259" t="s">
        <v>266</v>
      </c>
      <c r="B1259" s="1">
        <f t="shared" si="76"/>
        <v>45178</v>
      </c>
      <c r="C1259" s="1" t="str">
        <f t="shared" si="77"/>
        <v>Saturday</v>
      </c>
      <c r="D1259" s="1" t="str">
        <f t="shared" si="78"/>
        <v>September</v>
      </c>
      <c r="E1259" s="1" t="str">
        <f t="shared" si="79"/>
        <v>2023</v>
      </c>
      <c r="F1259" t="s">
        <v>11</v>
      </c>
      <c r="G1259" s="5">
        <v>132.1494194</v>
      </c>
      <c r="H1259" s="10">
        <v>14</v>
      </c>
      <c r="I1259" s="2">
        <v>152.52636304369099</v>
      </c>
      <c r="J1259" t="s">
        <v>12</v>
      </c>
    </row>
    <row r="1260" spans="1:10" x14ac:dyDescent="0.25">
      <c r="A1260" t="s">
        <v>266</v>
      </c>
      <c r="B1260" s="1">
        <f t="shared" si="76"/>
        <v>45178</v>
      </c>
      <c r="C1260" s="1" t="str">
        <f t="shared" si="77"/>
        <v>Saturday</v>
      </c>
      <c r="D1260" s="1" t="str">
        <f t="shared" si="78"/>
        <v>September</v>
      </c>
      <c r="E1260" s="1" t="str">
        <f t="shared" si="79"/>
        <v>2023</v>
      </c>
      <c r="F1260" t="s">
        <v>13</v>
      </c>
      <c r="G1260" s="5">
        <v>752.81935398400003</v>
      </c>
      <c r="H1260" s="10">
        <v>10</v>
      </c>
      <c r="I1260" s="2">
        <v>269.30872288889799</v>
      </c>
      <c r="J1260" t="s">
        <v>14</v>
      </c>
    </row>
    <row r="1261" spans="1:10" x14ac:dyDescent="0.25">
      <c r="A1261" t="s">
        <v>266</v>
      </c>
      <c r="B1261" s="1">
        <f t="shared" si="76"/>
        <v>45178</v>
      </c>
      <c r="C1261" s="1" t="str">
        <f t="shared" si="77"/>
        <v>Saturday</v>
      </c>
      <c r="D1261" s="1" t="str">
        <f t="shared" si="78"/>
        <v>September</v>
      </c>
      <c r="E1261" s="1" t="str">
        <f t="shared" si="79"/>
        <v>2023</v>
      </c>
      <c r="F1261" t="s">
        <v>16</v>
      </c>
      <c r="G1261" s="5">
        <v>784.267164565244</v>
      </c>
      <c r="H1261" s="10">
        <v>13</v>
      </c>
      <c r="I1261" s="2">
        <v>237.215690079615</v>
      </c>
      <c r="J1261" t="s">
        <v>12</v>
      </c>
    </row>
    <row r="1262" spans="1:10" x14ac:dyDescent="0.25">
      <c r="A1262" t="s">
        <v>267</v>
      </c>
      <c r="B1262" s="1">
        <f t="shared" si="76"/>
        <v>45179</v>
      </c>
      <c r="C1262" s="1" t="str">
        <f t="shared" si="77"/>
        <v>Sunday</v>
      </c>
      <c r="D1262" s="1" t="str">
        <f t="shared" si="78"/>
        <v>September</v>
      </c>
      <c r="E1262" s="1" t="str">
        <f t="shared" si="79"/>
        <v>2023</v>
      </c>
      <c r="F1262" t="s">
        <v>7</v>
      </c>
      <c r="G1262" s="5">
        <v>163.61239288179999</v>
      </c>
      <c r="H1262" s="10">
        <v>7</v>
      </c>
      <c r="I1262" s="2">
        <v>630.16800081592498</v>
      </c>
      <c r="J1262" t="s">
        <v>10</v>
      </c>
    </row>
    <row r="1263" spans="1:10" x14ac:dyDescent="0.25">
      <c r="A1263" t="s">
        <v>267</v>
      </c>
      <c r="B1263" s="1">
        <f t="shared" si="76"/>
        <v>45179</v>
      </c>
      <c r="C1263" s="1" t="str">
        <f t="shared" si="77"/>
        <v>Sunday</v>
      </c>
      <c r="D1263" s="1" t="str">
        <f t="shared" si="78"/>
        <v>September</v>
      </c>
      <c r="E1263" s="1" t="str">
        <f t="shared" si="79"/>
        <v>2023</v>
      </c>
      <c r="F1263" t="s">
        <v>9</v>
      </c>
      <c r="G1263" s="5">
        <v>14.851864919440001</v>
      </c>
      <c r="H1263" s="10">
        <v>14</v>
      </c>
      <c r="I1263" s="2">
        <v>220.85225818309101</v>
      </c>
      <c r="J1263" t="s">
        <v>8</v>
      </c>
    </row>
    <row r="1264" spans="1:10" x14ac:dyDescent="0.25">
      <c r="A1264" t="s">
        <v>267</v>
      </c>
      <c r="B1264" s="1">
        <f t="shared" si="76"/>
        <v>45179</v>
      </c>
      <c r="C1264" s="1" t="str">
        <f t="shared" si="77"/>
        <v>Sunday</v>
      </c>
      <c r="D1264" s="1" t="str">
        <f t="shared" si="78"/>
        <v>September</v>
      </c>
      <c r="E1264" s="1" t="str">
        <f t="shared" si="79"/>
        <v>2023</v>
      </c>
      <c r="F1264" t="s">
        <v>11</v>
      </c>
      <c r="G1264" s="5">
        <v>1228.355128769</v>
      </c>
      <c r="H1264" s="10">
        <v>18</v>
      </c>
      <c r="I1264" s="2">
        <v>243.847874119159</v>
      </c>
      <c r="J1264" t="s">
        <v>10</v>
      </c>
    </row>
    <row r="1265" spans="1:10" x14ac:dyDescent="0.25">
      <c r="A1265" t="s">
        <v>267</v>
      </c>
      <c r="B1265" s="1">
        <f t="shared" si="76"/>
        <v>45179</v>
      </c>
      <c r="C1265" s="1" t="str">
        <f t="shared" si="77"/>
        <v>Sunday</v>
      </c>
      <c r="D1265" s="1" t="str">
        <f t="shared" si="78"/>
        <v>September</v>
      </c>
      <c r="E1265" s="1" t="str">
        <f t="shared" si="79"/>
        <v>2023</v>
      </c>
      <c r="F1265" t="s">
        <v>13</v>
      </c>
      <c r="G1265" s="5">
        <v>1316.3236336658199</v>
      </c>
      <c r="H1265" s="10">
        <v>17</v>
      </c>
      <c r="I1265" s="2">
        <v>203.6845127</v>
      </c>
      <c r="J1265" t="s">
        <v>8</v>
      </c>
    </row>
    <row r="1266" spans="1:10" x14ac:dyDescent="0.25">
      <c r="A1266" t="s">
        <v>267</v>
      </c>
      <c r="B1266" s="1">
        <f t="shared" si="76"/>
        <v>45179</v>
      </c>
      <c r="C1266" s="1" t="str">
        <f t="shared" si="77"/>
        <v>Sunday</v>
      </c>
      <c r="D1266" s="1" t="str">
        <f t="shared" si="78"/>
        <v>September</v>
      </c>
      <c r="E1266" s="1" t="str">
        <f t="shared" si="79"/>
        <v>2023</v>
      </c>
      <c r="F1266" t="s">
        <v>16</v>
      </c>
      <c r="G1266" s="5">
        <v>1159.3289868538</v>
      </c>
      <c r="H1266" s="10">
        <v>10</v>
      </c>
      <c r="I1266" s="2">
        <v>368.47344591659697</v>
      </c>
      <c r="J1266" t="s">
        <v>10</v>
      </c>
    </row>
    <row r="1267" spans="1:10" x14ac:dyDescent="0.25">
      <c r="A1267" t="s">
        <v>268</v>
      </c>
      <c r="B1267" s="1">
        <f t="shared" si="76"/>
        <v>45180</v>
      </c>
      <c r="C1267" s="1" t="str">
        <f t="shared" si="77"/>
        <v>Monday</v>
      </c>
      <c r="D1267" s="1" t="str">
        <f t="shared" si="78"/>
        <v>September</v>
      </c>
      <c r="E1267" s="1" t="str">
        <f t="shared" si="79"/>
        <v>2023</v>
      </c>
      <c r="F1267" t="s">
        <v>7</v>
      </c>
      <c r="G1267" s="5">
        <v>1486.7495227300001</v>
      </c>
      <c r="H1267" s="10">
        <v>3</v>
      </c>
      <c r="I1267" s="2">
        <v>339.33564462374198</v>
      </c>
      <c r="J1267" t="s">
        <v>12</v>
      </c>
    </row>
    <row r="1268" spans="1:10" x14ac:dyDescent="0.25">
      <c r="A1268" t="s">
        <v>268</v>
      </c>
      <c r="B1268" s="1">
        <f t="shared" si="76"/>
        <v>45180</v>
      </c>
      <c r="C1268" s="1" t="str">
        <f t="shared" si="77"/>
        <v>Monday</v>
      </c>
      <c r="D1268" s="1" t="str">
        <f t="shared" si="78"/>
        <v>September</v>
      </c>
      <c r="E1268" s="1" t="str">
        <f t="shared" si="79"/>
        <v>2023</v>
      </c>
      <c r="F1268" t="s">
        <v>9</v>
      </c>
      <c r="G1268" s="5">
        <v>131.459157323</v>
      </c>
      <c r="H1268" s="10">
        <v>19</v>
      </c>
      <c r="I1268" s="2">
        <v>336.81703726161101</v>
      </c>
      <c r="J1268" t="s">
        <v>12</v>
      </c>
    </row>
    <row r="1269" spans="1:10" x14ac:dyDescent="0.25">
      <c r="A1269" t="s">
        <v>268</v>
      </c>
      <c r="B1269" s="1">
        <f t="shared" si="76"/>
        <v>45180</v>
      </c>
      <c r="C1269" s="1" t="str">
        <f t="shared" si="77"/>
        <v>Monday</v>
      </c>
      <c r="D1269" s="1" t="str">
        <f t="shared" si="78"/>
        <v>September</v>
      </c>
      <c r="E1269" s="1" t="str">
        <f t="shared" si="79"/>
        <v>2023</v>
      </c>
      <c r="F1269" t="s">
        <v>11</v>
      </c>
      <c r="G1269" s="5">
        <v>573.94131481547402</v>
      </c>
      <c r="H1269" s="10">
        <v>16</v>
      </c>
      <c r="I1269" s="2">
        <v>197.21959901990601</v>
      </c>
      <c r="J1269" t="s">
        <v>8</v>
      </c>
    </row>
    <row r="1270" spans="1:10" x14ac:dyDescent="0.25">
      <c r="A1270" t="s">
        <v>268</v>
      </c>
      <c r="B1270" s="1">
        <f t="shared" si="76"/>
        <v>45180</v>
      </c>
      <c r="C1270" s="1" t="str">
        <f t="shared" si="77"/>
        <v>Monday</v>
      </c>
      <c r="D1270" s="1" t="str">
        <f t="shared" si="78"/>
        <v>September</v>
      </c>
      <c r="E1270" s="1" t="str">
        <f t="shared" si="79"/>
        <v>2023</v>
      </c>
      <c r="F1270" t="s">
        <v>13</v>
      </c>
      <c r="G1270" s="5">
        <v>142.42959261211001</v>
      </c>
      <c r="H1270" s="10">
        <v>3</v>
      </c>
      <c r="I1270" s="2">
        <v>496.23184882315797</v>
      </c>
      <c r="J1270" t="s">
        <v>8</v>
      </c>
    </row>
    <row r="1271" spans="1:10" x14ac:dyDescent="0.25">
      <c r="A1271" t="s">
        <v>268</v>
      </c>
      <c r="B1271" s="1">
        <f t="shared" si="76"/>
        <v>45180</v>
      </c>
      <c r="C1271" s="1" t="str">
        <f t="shared" si="77"/>
        <v>Monday</v>
      </c>
      <c r="D1271" s="1" t="str">
        <f t="shared" si="78"/>
        <v>September</v>
      </c>
      <c r="E1271" s="1" t="str">
        <f t="shared" si="79"/>
        <v>2023</v>
      </c>
      <c r="F1271" t="s">
        <v>16</v>
      </c>
      <c r="G1271" s="5">
        <v>792.17354269586997</v>
      </c>
      <c r="H1271" s="10">
        <v>19</v>
      </c>
      <c r="I1271" s="2">
        <v>306.48209255646401</v>
      </c>
      <c r="J1271" t="s">
        <v>10</v>
      </c>
    </row>
    <row r="1272" spans="1:10" x14ac:dyDescent="0.25">
      <c r="A1272" t="s">
        <v>269</v>
      </c>
      <c r="B1272" s="1">
        <f t="shared" si="76"/>
        <v>45181</v>
      </c>
      <c r="C1272" s="1" t="str">
        <f t="shared" si="77"/>
        <v>Tuesday</v>
      </c>
      <c r="D1272" s="1" t="str">
        <f t="shared" si="78"/>
        <v>September</v>
      </c>
      <c r="E1272" s="1" t="str">
        <f t="shared" si="79"/>
        <v>2023</v>
      </c>
      <c r="F1272" t="s">
        <v>7</v>
      </c>
      <c r="G1272" s="5">
        <v>919.86299217791998</v>
      </c>
      <c r="H1272" s="10">
        <v>19</v>
      </c>
      <c r="I1272" s="2">
        <v>160.572918347034</v>
      </c>
      <c r="J1272" t="s">
        <v>14</v>
      </c>
    </row>
    <row r="1273" spans="1:10" x14ac:dyDescent="0.25">
      <c r="A1273" t="s">
        <v>269</v>
      </c>
      <c r="B1273" s="1">
        <f t="shared" si="76"/>
        <v>45181</v>
      </c>
      <c r="C1273" s="1" t="str">
        <f t="shared" si="77"/>
        <v>Tuesday</v>
      </c>
      <c r="D1273" s="1" t="str">
        <f t="shared" si="78"/>
        <v>September</v>
      </c>
      <c r="E1273" s="1" t="str">
        <f t="shared" si="79"/>
        <v>2023</v>
      </c>
      <c r="F1273" t="s">
        <v>9</v>
      </c>
      <c r="G1273" s="5">
        <v>1138.945822723</v>
      </c>
      <c r="H1273" s="10">
        <v>16</v>
      </c>
      <c r="I1273" s="2">
        <v>390.25559537766497</v>
      </c>
      <c r="J1273" t="s">
        <v>12</v>
      </c>
    </row>
    <row r="1274" spans="1:10" x14ac:dyDescent="0.25">
      <c r="A1274" t="s">
        <v>269</v>
      </c>
      <c r="B1274" s="1">
        <f t="shared" si="76"/>
        <v>45181</v>
      </c>
      <c r="C1274" s="1" t="str">
        <f t="shared" si="77"/>
        <v>Tuesday</v>
      </c>
      <c r="D1274" s="1" t="str">
        <f t="shared" si="78"/>
        <v>September</v>
      </c>
      <c r="E1274" s="1" t="str">
        <f t="shared" si="79"/>
        <v>2023</v>
      </c>
      <c r="F1274" t="s">
        <v>11</v>
      </c>
      <c r="G1274" s="5">
        <v>1234.378176214</v>
      </c>
      <c r="H1274" s="10">
        <v>7</v>
      </c>
      <c r="I1274" s="2">
        <v>440.76039464250999</v>
      </c>
      <c r="J1274" t="s">
        <v>12</v>
      </c>
    </row>
    <row r="1275" spans="1:10" x14ac:dyDescent="0.25">
      <c r="A1275" t="s">
        <v>269</v>
      </c>
      <c r="B1275" s="1">
        <f t="shared" si="76"/>
        <v>45181</v>
      </c>
      <c r="C1275" s="1" t="str">
        <f t="shared" si="77"/>
        <v>Tuesday</v>
      </c>
      <c r="D1275" s="1" t="str">
        <f t="shared" si="78"/>
        <v>September</v>
      </c>
      <c r="E1275" s="1" t="str">
        <f t="shared" si="79"/>
        <v>2023</v>
      </c>
      <c r="F1275" t="s">
        <v>13</v>
      </c>
      <c r="G1275" s="5">
        <v>125.217537518</v>
      </c>
      <c r="H1275" s="10">
        <v>4</v>
      </c>
      <c r="I1275" s="2">
        <v>147.64007384427501</v>
      </c>
      <c r="J1275" t="s">
        <v>14</v>
      </c>
    </row>
    <row r="1276" spans="1:10" x14ac:dyDescent="0.25">
      <c r="A1276" t="s">
        <v>269</v>
      </c>
      <c r="B1276" s="1">
        <f t="shared" si="76"/>
        <v>45181</v>
      </c>
      <c r="C1276" s="1" t="str">
        <f t="shared" si="77"/>
        <v>Tuesday</v>
      </c>
      <c r="D1276" s="1" t="str">
        <f t="shared" si="78"/>
        <v>September</v>
      </c>
      <c r="E1276" s="1" t="str">
        <f t="shared" si="79"/>
        <v>2023</v>
      </c>
      <c r="F1276" t="s">
        <v>16</v>
      </c>
      <c r="G1276" s="5">
        <v>881.71812294469999</v>
      </c>
      <c r="H1276" s="10">
        <v>14</v>
      </c>
      <c r="I1276" s="2">
        <v>258.97126291287799</v>
      </c>
      <c r="J1276" t="s">
        <v>12</v>
      </c>
    </row>
    <row r="1277" spans="1:10" x14ac:dyDescent="0.25">
      <c r="A1277" t="s">
        <v>270</v>
      </c>
      <c r="B1277" s="1">
        <f t="shared" si="76"/>
        <v>45182</v>
      </c>
      <c r="C1277" s="1" t="str">
        <f t="shared" si="77"/>
        <v>Wednesday</v>
      </c>
      <c r="D1277" s="1" t="str">
        <f t="shared" si="78"/>
        <v>September</v>
      </c>
      <c r="E1277" s="1" t="str">
        <f t="shared" si="79"/>
        <v>2023</v>
      </c>
      <c r="F1277" t="s">
        <v>7</v>
      </c>
      <c r="G1277" s="5">
        <v>954.44399148252</v>
      </c>
      <c r="H1277" s="10">
        <v>19</v>
      </c>
      <c r="I1277" s="2">
        <v>183.07586282335299</v>
      </c>
      <c r="J1277" t="s">
        <v>14</v>
      </c>
    </row>
    <row r="1278" spans="1:10" x14ac:dyDescent="0.25">
      <c r="A1278" t="s">
        <v>270</v>
      </c>
      <c r="B1278" s="1">
        <f t="shared" si="76"/>
        <v>45182</v>
      </c>
      <c r="C1278" s="1" t="str">
        <f t="shared" si="77"/>
        <v>Wednesday</v>
      </c>
      <c r="D1278" s="1" t="str">
        <f t="shared" si="78"/>
        <v>September</v>
      </c>
      <c r="E1278" s="1" t="str">
        <f t="shared" si="79"/>
        <v>2023</v>
      </c>
      <c r="F1278" t="s">
        <v>9</v>
      </c>
      <c r="G1278" s="5">
        <v>1112.4567913410001</v>
      </c>
      <c r="H1278" s="10">
        <v>14</v>
      </c>
      <c r="I1278" s="2">
        <v>259.78968340987097</v>
      </c>
      <c r="J1278" t="s">
        <v>14</v>
      </c>
    </row>
    <row r="1279" spans="1:10" x14ac:dyDescent="0.25">
      <c r="A1279" t="s">
        <v>270</v>
      </c>
      <c r="B1279" s="1">
        <f t="shared" si="76"/>
        <v>45182</v>
      </c>
      <c r="C1279" s="1" t="str">
        <f t="shared" si="77"/>
        <v>Wednesday</v>
      </c>
      <c r="D1279" s="1" t="str">
        <f t="shared" si="78"/>
        <v>September</v>
      </c>
      <c r="E1279" s="1" t="str">
        <f t="shared" si="79"/>
        <v>2023</v>
      </c>
      <c r="F1279" t="s">
        <v>11</v>
      </c>
      <c r="G1279" s="5">
        <v>193.71346313997</v>
      </c>
      <c r="H1279" s="10">
        <v>7</v>
      </c>
      <c r="I1279" s="2">
        <v>356.055731531996</v>
      </c>
      <c r="J1279" t="s">
        <v>14</v>
      </c>
    </row>
    <row r="1280" spans="1:10" x14ac:dyDescent="0.25">
      <c r="A1280" t="s">
        <v>270</v>
      </c>
      <c r="B1280" s="1">
        <f t="shared" si="76"/>
        <v>45182</v>
      </c>
      <c r="C1280" s="1" t="str">
        <f t="shared" si="77"/>
        <v>Wednesday</v>
      </c>
      <c r="D1280" s="1" t="str">
        <f t="shared" si="78"/>
        <v>September</v>
      </c>
      <c r="E1280" s="1" t="str">
        <f t="shared" si="79"/>
        <v>2023</v>
      </c>
      <c r="F1280" t="s">
        <v>13</v>
      </c>
      <c r="G1280" s="5">
        <v>882.2372325</v>
      </c>
      <c r="H1280" s="10">
        <v>7</v>
      </c>
      <c r="I1280" s="2">
        <v>123.07745002750001</v>
      </c>
      <c r="J1280" t="s">
        <v>8</v>
      </c>
    </row>
    <row r="1281" spans="1:10" x14ac:dyDescent="0.25">
      <c r="A1281" t="s">
        <v>270</v>
      </c>
      <c r="B1281" s="1">
        <f t="shared" si="76"/>
        <v>45182</v>
      </c>
      <c r="C1281" s="1" t="str">
        <f t="shared" si="77"/>
        <v>Wednesday</v>
      </c>
      <c r="D1281" s="1" t="str">
        <f t="shared" si="78"/>
        <v>September</v>
      </c>
      <c r="E1281" s="1" t="str">
        <f t="shared" si="79"/>
        <v>2023</v>
      </c>
      <c r="F1281" t="s">
        <v>16</v>
      </c>
      <c r="G1281" s="5">
        <v>127.63585152653999</v>
      </c>
      <c r="H1281" s="10">
        <v>8</v>
      </c>
      <c r="I1281" s="2">
        <v>366.29645019890103</v>
      </c>
      <c r="J1281" t="s">
        <v>14</v>
      </c>
    </row>
    <row r="1282" spans="1:10" x14ac:dyDescent="0.25">
      <c r="A1282" t="s">
        <v>271</v>
      </c>
      <c r="B1282" s="1">
        <f t="shared" si="76"/>
        <v>45183</v>
      </c>
      <c r="C1282" s="1" t="str">
        <f t="shared" si="77"/>
        <v>Thursday</v>
      </c>
      <c r="D1282" s="1" t="str">
        <f t="shared" si="78"/>
        <v>September</v>
      </c>
      <c r="E1282" s="1" t="str">
        <f t="shared" si="79"/>
        <v>2023</v>
      </c>
      <c r="F1282" t="s">
        <v>7</v>
      </c>
      <c r="G1282" s="5">
        <v>1442.213984383</v>
      </c>
      <c r="H1282" s="10">
        <v>13</v>
      </c>
      <c r="I1282" s="2">
        <v>167.42725184880601</v>
      </c>
      <c r="J1282" t="s">
        <v>10</v>
      </c>
    </row>
    <row r="1283" spans="1:10" x14ac:dyDescent="0.25">
      <c r="A1283" t="s">
        <v>271</v>
      </c>
      <c r="B1283" s="1">
        <f t="shared" ref="B1283:B1346" si="80">DATE(VALUE(RIGHT(A1283,4)),VALUE(LEFT(A1283,FIND("/",A1283)-1)),VALUE(MID(A1283,FIND("/",A1283)+1,FIND("/",A1283,FIND("/",A1283)+1)-FIND("/",A1283)-1)))</f>
        <v>45183</v>
      </c>
      <c r="C1283" s="1" t="str">
        <f t="shared" ref="C1283:C1346" si="81">TEXT(B1283,"DDDD")</f>
        <v>Thursday</v>
      </c>
      <c r="D1283" s="1" t="str">
        <f t="shared" ref="D1283:D1346" si="82">TEXT(B1283,"MMMM")</f>
        <v>September</v>
      </c>
      <c r="E1283" s="1" t="str">
        <f t="shared" ref="E1283:E1346" si="83">TEXT(B1283,"YYYY")</f>
        <v>2023</v>
      </c>
      <c r="F1283" t="s">
        <v>9</v>
      </c>
      <c r="G1283" s="5">
        <v>1399.476497463</v>
      </c>
      <c r="H1283" s="10">
        <v>1</v>
      </c>
      <c r="I1283" s="2">
        <v>339.57275503726999</v>
      </c>
      <c r="J1283" t="s">
        <v>12</v>
      </c>
    </row>
    <row r="1284" spans="1:10" x14ac:dyDescent="0.25">
      <c r="A1284" t="s">
        <v>271</v>
      </c>
      <c r="B1284" s="1">
        <f t="shared" si="80"/>
        <v>45183</v>
      </c>
      <c r="C1284" s="1" t="str">
        <f t="shared" si="81"/>
        <v>Thursday</v>
      </c>
      <c r="D1284" s="1" t="str">
        <f t="shared" si="82"/>
        <v>September</v>
      </c>
      <c r="E1284" s="1" t="str">
        <f t="shared" si="83"/>
        <v>2023</v>
      </c>
      <c r="F1284" t="s">
        <v>11</v>
      </c>
      <c r="G1284" s="5">
        <v>1161.7432353854001</v>
      </c>
      <c r="H1284" s="10">
        <v>1</v>
      </c>
      <c r="I1284" s="2">
        <v>182.113403130346</v>
      </c>
      <c r="J1284" t="s">
        <v>14</v>
      </c>
    </row>
    <row r="1285" spans="1:10" x14ac:dyDescent="0.25">
      <c r="A1285" t="s">
        <v>271</v>
      </c>
      <c r="B1285" s="1">
        <f t="shared" si="80"/>
        <v>45183</v>
      </c>
      <c r="C1285" s="1" t="str">
        <f t="shared" si="81"/>
        <v>Thursday</v>
      </c>
      <c r="D1285" s="1" t="str">
        <f t="shared" si="82"/>
        <v>September</v>
      </c>
      <c r="E1285" s="1" t="str">
        <f t="shared" si="83"/>
        <v>2023</v>
      </c>
      <c r="F1285" t="s">
        <v>13</v>
      </c>
      <c r="G1285" s="5">
        <v>1293.519813393</v>
      </c>
      <c r="H1285" s="10">
        <v>5</v>
      </c>
      <c r="I1285" s="2">
        <v>327.69042936134599</v>
      </c>
      <c r="J1285" t="s">
        <v>10</v>
      </c>
    </row>
    <row r="1286" spans="1:10" x14ac:dyDescent="0.25">
      <c r="A1286" t="s">
        <v>271</v>
      </c>
      <c r="B1286" s="1">
        <f t="shared" si="80"/>
        <v>45183</v>
      </c>
      <c r="C1286" s="1" t="str">
        <f t="shared" si="81"/>
        <v>Thursday</v>
      </c>
      <c r="D1286" s="1" t="str">
        <f t="shared" si="82"/>
        <v>September</v>
      </c>
      <c r="E1286" s="1" t="str">
        <f t="shared" si="83"/>
        <v>2023</v>
      </c>
      <c r="F1286" t="s">
        <v>16</v>
      </c>
      <c r="G1286" s="5">
        <v>1435.9846918757401</v>
      </c>
      <c r="H1286" s="10">
        <v>16</v>
      </c>
      <c r="I1286" s="2">
        <v>500.97027738909202</v>
      </c>
      <c r="J1286" t="s">
        <v>14</v>
      </c>
    </row>
    <row r="1287" spans="1:10" x14ac:dyDescent="0.25">
      <c r="A1287" t="s">
        <v>272</v>
      </c>
      <c r="B1287" s="1">
        <f t="shared" si="80"/>
        <v>45184</v>
      </c>
      <c r="C1287" s="1" t="str">
        <f t="shared" si="81"/>
        <v>Friday</v>
      </c>
      <c r="D1287" s="1" t="str">
        <f t="shared" si="82"/>
        <v>September</v>
      </c>
      <c r="E1287" s="1" t="str">
        <f t="shared" si="83"/>
        <v>2023</v>
      </c>
      <c r="F1287" t="s">
        <v>7</v>
      </c>
      <c r="G1287" s="5">
        <v>966.89679189000003</v>
      </c>
      <c r="H1287" s="10">
        <v>15</v>
      </c>
      <c r="I1287" s="2">
        <v>127.155975262377</v>
      </c>
      <c r="J1287" t="s">
        <v>14</v>
      </c>
    </row>
    <row r="1288" spans="1:10" x14ac:dyDescent="0.25">
      <c r="A1288" t="s">
        <v>272</v>
      </c>
      <c r="B1288" s="1">
        <f t="shared" si="80"/>
        <v>45184</v>
      </c>
      <c r="C1288" s="1" t="str">
        <f t="shared" si="81"/>
        <v>Friday</v>
      </c>
      <c r="D1288" s="1" t="str">
        <f t="shared" si="82"/>
        <v>September</v>
      </c>
      <c r="E1288" s="1" t="str">
        <f t="shared" si="83"/>
        <v>2023</v>
      </c>
      <c r="F1288" t="s">
        <v>9</v>
      </c>
      <c r="G1288" s="5">
        <v>1555.5645675815999</v>
      </c>
      <c r="H1288" s="10">
        <v>17</v>
      </c>
      <c r="I1288" s="2">
        <v>297.53681576125598</v>
      </c>
      <c r="J1288" t="s">
        <v>14</v>
      </c>
    </row>
    <row r="1289" spans="1:10" x14ac:dyDescent="0.25">
      <c r="A1289" t="s">
        <v>272</v>
      </c>
      <c r="B1289" s="1">
        <f t="shared" si="80"/>
        <v>45184</v>
      </c>
      <c r="C1289" s="1" t="str">
        <f t="shared" si="81"/>
        <v>Friday</v>
      </c>
      <c r="D1289" s="1" t="str">
        <f t="shared" si="82"/>
        <v>September</v>
      </c>
      <c r="E1289" s="1" t="str">
        <f t="shared" si="83"/>
        <v>2023</v>
      </c>
      <c r="F1289" t="s">
        <v>11</v>
      </c>
      <c r="G1289" s="5">
        <v>915.67978617589995</v>
      </c>
      <c r="H1289" s="10">
        <v>18</v>
      </c>
      <c r="I1289" s="2">
        <v>203.58619237946499</v>
      </c>
      <c r="J1289" t="s">
        <v>12</v>
      </c>
    </row>
    <row r="1290" spans="1:10" x14ac:dyDescent="0.25">
      <c r="A1290" t="s">
        <v>272</v>
      </c>
      <c r="B1290" s="1">
        <f t="shared" si="80"/>
        <v>45184</v>
      </c>
      <c r="C1290" s="1" t="str">
        <f t="shared" si="81"/>
        <v>Friday</v>
      </c>
      <c r="D1290" s="1" t="str">
        <f t="shared" si="82"/>
        <v>September</v>
      </c>
      <c r="E1290" s="1" t="str">
        <f t="shared" si="83"/>
        <v>2023</v>
      </c>
      <c r="F1290" t="s">
        <v>13</v>
      </c>
      <c r="G1290" s="5">
        <v>845.77584185841999</v>
      </c>
      <c r="H1290" s="10">
        <v>15</v>
      </c>
      <c r="I1290" s="2">
        <v>303.42092526585498</v>
      </c>
      <c r="J1290" t="s">
        <v>10</v>
      </c>
    </row>
    <row r="1291" spans="1:10" x14ac:dyDescent="0.25">
      <c r="A1291" t="s">
        <v>272</v>
      </c>
      <c r="B1291" s="1">
        <f t="shared" si="80"/>
        <v>45184</v>
      </c>
      <c r="C1291" s="1" t="str">
        <f t="shared" si="81"/>
        <v>Friday</v>
      </c>
      <c r="D1291" s="1" t="str">
        <f t="shared" si="82"/>
        <v>September</v>
      </c>
      <c r="E1291" s="1" t="str">
        <f t="shared" si="83"/>
        <v>2023</v>
      </c>
      <c r="F1291" t="s">
        <v>16</v>
      </c>
      <c r="G1291" s="5">
        <v>937.49825378333003</v>
      </c>
      <c r="H1291" s="10">
        <v>8</v>
      </c>
      <c r="I1291" s="2">
        <v>289.27093606460602</v>
      </c>
      <c r="J1291" t="s">
        <v>12</v>
      </c>
    </row>
    <row r="1292" spans="1:10" x14ac:dyDescent="0.25">
      <c r="A1292" t="s">
        <v>273</v>
      </c>
      <c r="B1292" s="1">
        <f t="shared" si="80"/>
        <v>45185</v>
      </c>
      <c r="C1292" s="1" t="str">
        <f t="shared" si="81"/>
        <v>Saturday</v>
      </c>
      <c r="D1292" s="1" t="str">
        <f t="shared" si="82"/>
        <v>September</v>
      </c>
      <c r="E1292" s="1" t="str">
        <f t="shared" si="83"/>
        <v>2023</v>
      </c>
      <c r="F1292" t="s">
        <v>7</v>
      </c>
      <c r="G1292" s="5">
        <v>957.88748232839896</v>
      </c>
      <c r="H1292" s="10">
        <v>8</v>
      </c>
      <c r="I1292" s="2">
        <v>208.75868309273699</v>
      </c>
      <c r="J1292" t="s">
        <v>14</v>
      </c>
    </row>
    <row r="1293" spans="1:10" x14ac:dyDescent="0.25">
      <c r="A1293" t="s">
        <v>273</v>
      </c>
      <c r="B1293" s="1">
        <f t="shared" si="80"/>
        <v>45185</v>
      </c>
      <c r="C1293" s="1" t="str">
        <f t="shared" si="81"/>
        <v>Saturday</v>
      </c>
      <c r="D1293" s="1" t="str">
        <f t="shared" si="82"/>
        <v>September</v>
      </c>
      <c r="E1293" s="1" t="str">
        <f t="shared" si="83"/>
        <v>2023</v>
      </c>
      <c r="F1293" t="s">
        <v>9</v>
      </c>
      <c r="G1293" s="5">
        <v>192.28384567500001</v>
      </c>
      <c r="H1293" s="10">
        <v>17</v>
      </c>
      <c r="I1293" s="2">
        <v>181.81629840083099</v>
      </c>
      <c r="J1293" t="s">
        <v>12</v>
      </c>
    </row>
    <row r="1294" spans="1:10" x14ac:dyDescent="0.25">
      <c r="A1294" t="s">
        <v>273</v>
      </c>
      <c r="B1294" s="1">
        <f t="shared" si="80"/>
        <v>45185</v>
      </c>
      <c r="C1294" s="1" t="str">
        <f t="shared" si="81"/>
        <v>Saturday</v>
      </c>
      <c r="D1294" s="1" t="str">
        <f t="shared" si="82"/>
        <v>September</v>
      </c>
      <c r="E1294" s="1" t="str">
        <f t="shared" si="83"/>
        <v>2023</v>
      </c>
      <c r="F1294" t="s">
        <v>11</v>
      </c>
      <c r="G1294" s="5">
        <v>569.22714283944094</v>
      </c>
      <c r="H1294" s="10">
        <v>2</v>
      </c>
      <c r="I1294" s="2">
        <v>85.519503857723393</v>
      </c>
      <c r="J1294" t="s">
        <v>10</v>
      </c>
    </row>
    <row r="1295" spans="1:10" x14ac:dyDescent="0.25">
      <c r="A1295" t="s">
        <v>273</v>
      </c>
      <c r="B1295" s="1">
        <f t="shared" si="80"/>
        <v>45185</v>
      </c>
      <c r="C1295" s="1" t="str">
        <f t="shared" si="81"/>
        <v>Saturday</v>
      </c>
      <c r="D1295" s="1" t="str">
        <f t="shared" si="82"/>
        <v>September</v>
      </c>
      <c r="E1295" s="1" t="str">
        <f t="shared" si="83"/>
        <v>2023</v>
      </c>
      <c r="F1295" t="s">
        <v>13</v>
      </c>
      <c r="G1295" s="5">
        <v>65.255255717470007</v>
      </c>
      <c r="H1295" s="10">
        <v>6</v>
      </c>
      <c r="I1295" s="2">
        <v>71.988438299999999</v>
      </c>
      <c r="J1295" t="s">
        <v>10</v>
      </c>
    </row>
    <row r="1296" spans="1:10" x14ac:dyDescent="0.25">
      <c r="A1296" t="s">
        <v>273</v>
      </c>
      <c r="B1296" s="1">
        <f t="shared" si="80"/>
        <v>45185</v>
      </c>
      <c r="C1296" s="1" t="str">
        <f t="shared" si="81"/>
        <v>Saturday</v>
      </c>
      <c r="D1296" s="1" t="str">
        <f t="shared" si="82"/>
        <v>September</v>
      </c>
      <c r="E1296" s="1" t="str">
        <f t="shared" si="83"/>
        <v>2023</v>
      </c>
      <c r="F1296" t="s">
        <v>16</v>
      </c>
      <c r="G1296" s="5">
        <v>945.56527922574401</v>
      </c>
      <c r="H1296" s="10">
        <v>14</v>
      </c>
      <c r="I1296" s="2">
        <v>341.11499794347799</v>
      </c>
      <c r="J1296" t="s">
        <v>12</v>
      </c>
    </row>
    <row r="1297" spans="1:10" x14ac:dyDescent="0.25">
      <c r="A1297" t="s">
        <v>274</v>
      </c>
      <c r="B1297" s="1">
        <f t="shared" si="80"/>
        <v>45186</v>
      </c>
      <c r="C1297" s="1" t="str">
        <f t="shared" si="81"/>
        <v>Sunday</v>
      </c>
      <c r="D1297" s="1" t="str">
        <f t="shared" si="82"/>
        <v>September</v>
      </c>
      <c r="E1297" s="1" t="str">
        <f t="shared" si="83"/>
        <v>2023</v>
      </c>
      <c r="F1297" t="s">
        <v>7</v>
      </c>
      <c r="G1297" s="5">
        <v>968.98899246500002</v>
      </c>
      <c r="H1297" s="10">
        <v>3</v>
      </c>
      <c r="I1297" s="2">
        <v>356.76088385114201</v>
      </c>
      <c r="J1297" t="s">
        <v>12</v>
      </c>
    </row>
    <row r="1298" spans="1:10" x14ac:dyDescent="0.25">
      <c r="A1298" t="s">
        <v>274</v>
      </c>
      <c r="B1298" s="1">
        <f t="shared" si="80"/>
        <v>45186</v>
      </c>
      <c r="C1298" s="1" t="str">
        <f t="shared" si="81"/>
        <v>Sunday</v>
      </c>
      <c r="D1298" s="1" t="str">
        <f t="shared" si="82"/>
        <v>September</v>
      </c>
      <c r="E1298" s="1" t="str">
        <f t="shared" si="83"/>
        <v>2023</v>
      </c>
      <c r="F1298" t="s">
        <v>9</v>
      </c>
      <c r="G1298" s="5">
        <v>71.378919925749997</v>
      </c>
      <c r="H1298" s="10">
        <v>17</v>
      </c>
      <c r="I1298" s="2">
        <v>128.395119888708</v>
      </c>
      <c r="J1298" t="s">
        <v>10</v>
      </c>
    </row>
    <row r="1299" spans="1:10" x14ac:dyDescent="0.25">
      <c r="A1299" t="s">
        <v>274</v>
      </c>
      <c r="B1299" s="1">
        <f t="shared" si="80"/>
        <v>45186</v>
      </c>
      <c r="C1299" s="1" t="str">
        <f t="shared" si="81"/>
        <v>Sunday</v>
      </c>
      <c r="D1299" s="1" t="str">
        <f t="shared" si="82"/>
        <v>September</v>
      </c>
      <c r="E1299" s="1" t="str">
        <f t="shared" si="83"/>
        <v>2023</v>
      </c>
      <c r="F1299" t="s">
        <v>11</v>
      </c>
      <c r="G1299" s="5">
        <v>1548.1784514870999</v>
      </c>
      <c r="H1299" s="10">
        <v>2</v>
      </c>
      <c r="I1299" s="2">
        <v>587.14237765624296</v>
      </c>
      <c r="J1299" t="s">
        <v>10</v>
      </c>
    </row>
    <row r="1300" spans="1:10" x14ac:dyDescent="0.25">
      <c r="A1300" t="s">
        <v>274</v>
      </c>
      <c r="B1300" s="1">
        <f t="shared" si="80"/>
        <v>45186</v>
      </c>
      <c r="C1300" s="1" t="str">
        <f t="shared" si="81"/>
        <v>Sunday</v>
      </c>
      <c r="D1300" s="1" t="str">
        <f t="shared" si="82"/>
        <v>September</v>
      </c>
      <c r="E1300" s="1" t="str">
        <f t="shared" si="83"/>
        <v>2023</v>
      </c>
      <c r="F1300" t="s">
        <v>13</v>
      </c>
      <c r="G1300" s="5">
        <v>1268.976596278</v>
      </c>
      <c r="H1300" s="10">
        <v>7</v>
      </c>
      <c r="I1300" s="2">
        <v>448.83201812425602</v>
      </c>
      <c r="J1300" t="s">
        <v>8</v>
      </c>
    </row>
    <row r="1301" spans="1:10" x14ac:dyDescent="0.25">
      <c r="A1301" t="s">
        <v>274</v>
      </c>
      <c r="B1301" s="1">
        <f t="shared" si="80"/>
        <v>45186</v>
      </c>
      <c r="C1301" s="1" t="str">
        <f t="shared" si="81"/>
        <v>Sunday</v>
      </c>
      <c r="D1301" s="1" t="str">
        <f t="shared" si="82"/>
        <v>September</v>
      </c>
      <c r="E1301" s="1" t="str">
        <f t="shared" si="83"/>
        <v>2023</v>
      </c>
      <c r="F1301" t="s">
        <v>16</v>
      </c>
      <c r="G1301" s="5">
        <v>498.32567629840003</v>
      </c>
      <c r="H1301" s="10">
        <v>16</v>
      </c>
      <c r="I1301" s="2">
        <v>106.1056103</v>
      </c>
      <c r="J1301" t="s">
        <v>8</v>
      </c>
    </row>
    <row r="1302" spans="1:10" x14ac:dyDescent="0.25">
      <c r="A1302" t="s">
        <v>275</v>
      </c>
      <c r="B1302" s="1">
        <f t="shared" si="80"/>
        <v>45187</v>
      </c>
      <c r="C1302" s="1" t="str">
        <f t="shared" si="81"/>
        <v>Monday</v>
      </c>
      <c r="D1302" s="1" t="str">
        <f t="shared" si="82"/>
        <v>September</v>
      </c>
      <c r="E1302" s="1" t="str">
        <f t="shared" si="83"/>
        <v>2023</v>
      </c>
      <c r="F1302" t="s">
        <v>7</v>
      </c>
      <c r="G1302" s="5">
        <v>888.82517127976496</v>
      </c>
      <c r="H1302" s="10">
        <v>2</v>
      </c>
      <c r="I1302" s="2">
        <v>88.943056312944904</v>
      </c>
      <c r="J1302" t="s">
        <v>14</v>
      </c>
    </row>
    <row r="1303" spans="1:10" x14ac:dyDescent="0.25">
      <c r="A1303" t="s">
        <v>275</v>
      </c>
      <c r="B1303" s="1">
        <f t="shared" si="80"/>
        <v>45187</v>
      </c>
      <c r="C1303" s="1" t="str">
        <f t="shared" si="81"/>
        <v>Monday</v>
      </c>
      <c r="D1303" s="1" t="str">
        <f t="shared" si="82"/>
        <v>September</v>
      </c>
      <c r="E1303" s="1" t="str">
        <f t="shared" si="83"/>
        <v>2023</v>
      </c>
      <c r="F1303" t="s">
        <v>9</v>
      </c>
      <c r="G1303" s="5">
        <v>595.58586641794898</v>
      </c>
      <c r="H1303" s="10">
        <v>2</v>
      </c>
      <c r="I1303" s="2">
        <v>89.542987045420304</v>
      </c>
      <c r="J1303" t="s">
        <v>12</v>
      </c>
    </row>
    <row r="1304" spans="1:10" x14ac:dyDescent="0.25">
      <c r="A1304" t="s">
        <v>275</v>
      </c>
      <c r="B1304" s="1">
        <f t="shared" si="80"/>
        <v>45187</v>
      </c>
      <c r="C1304" s="1" t="str">
        <f t="shared" si="81"/>
        <v>Monday</v>
      </c>
      <c r="D1304" s="1" t="str">
        <f t="shared" si="82"/>
        <v>September</v>
      </c>
      <c r="E1304" s="1" t="str">
        <f t="shared" si="83"/>
        <v>2023</v>
      </c>
      <c r="F1304" t="s">
        <v>11</v>
      </c>
      <c r="G1304" s="5">
        <v>1178.4335787473699</v>
      </c>
      <c r="H1304" s="10">
        <v>7</v>
      </c>
      <c r="I1304" s="2">
        <v>446.20490459948002</v>
      </c>
      <c r="J1304" t="s">
        <v>8</v>
      </c>
    </row>
    <row r="1305" spans="1:10" x14ac:dyDescent="0.25">
      <c r="A1305" t="s">
        <v>275</v>
      </c>
      <c r="B1305" s="1">
        <f t="shared" si="80"/>
        <v>45187</v>
      </c>
      <c r="C1305" s="1" t="str">
        <f t="shared" si="81"/>
        <v>Monday</v>
      </c>
      <c r="D1305" s="1" t="str">
        <f t="shared" si="82"/>
        <v>September</v>
      </c>
      <c r="E1305" s="1" t="str">
        <f t="shared" si="83"/>
        <v>2023</v>
      </c>
      <c r="F1305" t="s">
        <v>13</v>
      </c>
      <c r="G1305" s="5">
        <v>111.448585163</v>
      </c>
      <c r="H1305" s="10">
        <v>1</v>
      </c>
      <c r="I1305" s="2">
        <v>150.73472530808601</v>
      </c>
      <c r="J1305" t="s">
        <v>14</v>
      </c>
    </row>
    <row r="1306" spans="1:10" x14ac:dyDescent="0.25">
      <c r="A1306" t="s">
        <v>275</v>
      </c>
      <c r="B1306" s="1">
        <f t="shared" si="80"/>
        <v>45187</v>
      </c>
      <c r="C1306" s="1" t="str">
        <f t="shared" si="81"/>
        <v>Monday</v>
      </c>
      <c r="D1306" s="1" t="str">
        <f t="shared" si="82"/>
        <v>September</v>
      </c>
      <c r="E1306" s="1" t="str">
        <f t="shared" si="83"/>
        <v>2023</v>
      </c>
      <c r="F1306" t="s">
        <v>16</v>
      </c>
      <c r="G1306" s="5">
        <v>974.85439358148005</v>
      </c>
      <c r="H1306" s="10">
        <v>1</v>
      </c>
      <c r="I1306" s="2">
        <v>307.66364179999999</v>
      </c>
      <c r="J1306" t="s">
        <v>8</v>
      </c>
    </row>
    <row r="1307" spans="1:10" x14ac:dyDescent="0.25">
      <c r="A1307" t="s">
        <v>276</v>
      </c>
      <c r="B1307" s="1">
        <f t="shared" si="80"/>
        <v>45188</v>
      </c>
      <c r="C1307" s="1" t="str">
        <f t="shared" si="81"/>
        <v>Tuesday</v>
      </c>
      <c r="D1307" s="1" t="str">
        <f t="shared" si="82"/>
        <v>September</v>
      </c>
      <c r="E1307" s="1" t="str">
        <f t="shared" si="83"/>
        <v>2023</v>
      </c>
      <c r="F1307" t="s">
        <v>7</v>
      </c>
      <c r="G1307" s="5">
        <v>984.78723443540002</v>
      </c>
      <c r="H1307" s="10">
        <v>4</v>
      </c>
      <c r="I1307" s="2">
        <v>369.64211876929198</v>
      </c>
      <c r="J1307" t="s">
        <v>12</v>
      </c>
    </row>
    <row r="1308" spans="1:10" x14ac:dyDescent="0.25">
      <c r="A1308" t="s">
        <v>276</v>
      </c>
      <c r="B1308" s="1">
        <f t="shared" si="80"/>
        <v>45188</v>
      </c>
      <c r="C1308" s="1" t="str">
        <f t="shared" si="81"/>
        <v>Tuesday</v>
      </c>
      <c r="D1308" s="1" t="str">
        <f t="shared" si="82"/>
        <v>September</v>
      </c>
      <c r="E1308" s="1" t="str">
        <f t="shared" si="83"/>
        <v>2023</v>
      </c>
      <c r="F1308" t="s">
        <v>9</v>
      </c>
      <c r="G1308" s="5">
        <v>1375.8527932823999</v>
      </c>
      <c r="H1308" s="10">
        <v>13</v>
      </c>
      <c r="I1308" s="2">
        <v>442.64957760982702</v>
      </c>
      <c r="J1308" t="s">
        <v>10</v>
      </c>
    </row>
    <row r="1309" spans="1:10" x14ac:dyDescent="0.25">
      <c r="A1309" t="s">
        <v>276</v>
      </c>
      <c r="B1309" s="1">
        <f t="shared" si="80"/>
        <v>45188</v>
      </c>
      <c r="C1309" s="1" t="str">
        <f t="shared" si="81"/>
        <v>Tuesday</v>
      </c>
      <c r="D1309" s="1" t="str">
        <f t="shared" si="82"/>
        <v>September</v>
      </c>
      <c r="E1309" s="1" t="str">
        <f t="shared" si="83"/>
        <v>2023</v>
      </c>
      <c r="F1309" t="s">
        <v>11</v>
      </c>
      <c r="G1309" s="5">
        <v>865.53261519955004</v>
      </c>
      <c r="H1309" s="10">
        <v>7</v>
      </c>
      <c r="I1309" s="2">
        <v>298.19470755132397</v>
      </c>
      <c r="J1309" t="s">
        <v>8</v>
      </c>
    </row>
    <row r="1310" spans="1:10" x14ac:dyDescent="0.25">
      <c r="A1310" t="s">
        <v>276</v>
      </c>
      <c r="B1310" s="1">
        <f t="shared" si="80"/>
        <v>45188</v>
      </c>
      <c r="C1310" s="1" t="str">
        <f t="shared" si="81"/>
        <v>Tuesday</v>
      </c>
      <c r="D1310" s="1" t="str">
        <f t="shared" si="82"/>
        <v>September</v>
      </c>
      <c r="E1310" s="1" t="str">
        <f t="shared" si="83"/>
        <v>2023</v>
      </c>
      <c r="F1310" t="s">
        <v>13</v>
      </c>
      <c r="G1310" s="5">
        <v>183.27538589400001</v>
      </c>
      <c r="H1310" s="10">
        <v>18</v>
      </c>
      <c r="I1310" s="2">
        <v>429.02469221331597</v>
      </c>
      <c r="J1310" t="s">
        <v>14</v>
      </c>
    </row>
    <row r="1311" spans="1:10" x14ac:dyDescent="0.25">
      <c r="A1311" t="s">
        <v>276</v>
      </c>
      <c r="B1311" s="1">
        <f t="shared" si="80"/>
        <v>45188</v>
      </c>
      <c r="C1311" s="1" t="str">
        <f t="shared" si="81"/>
        <v>Tuesday</v>
      </c>
      <c r="D1311" s="1" t="str">
        <f t="shared" si="82"/>
        <v>September</v>
      </c>
      <c r="E1311" s="1" t="str">
        <f t="shared" si="83"/>
        <v>2023</v>
      </c>
      <c r="F1311" t="s">
        <v>16</v>
      </c>
      <c r="G1311" s="5">
        <v>993.31636200000003</v>
      </c>
      <c r="H1311" s="10">
        <v>6</v>
      </c>
      <c r="I1311" s="2">
        <v>173.414616334046</v>
      </c>
      <c r="J1311" t="s">
        <v>8</v>
      </c>
    </row>
    <row r="1312" spans="1:10" x14ac:dyDescent="0.25">
      <c r="A1312" t="s">
        <v>277</v>
      </c>
      <c r="B1312" s="1">
        <f t="shared" si="80"/>
        <v>45189</v>
      </c>
      <c r="C1312" s="1" t="str">
        <f t="shared" si="81"/>
        <v>Wednesday</v>
      </c>
      <c r="D1312" s="1" t="str">
        <f t="shared" si="82"/>
        <v>September</v>
      </c>
      <c r="E1312" s="1" t="str">
        <f t="shared" si="83"/>
        <v>2023</v>
      </c>
      <c r="F1312" t="s">
        <v>7</v>
      </c>
      <c r="G1312" s="5">
        <v>927.93164118264997</v>
      </c>
      <c r="H1312" s="10">
        <v>18</v>
      </c>
      <c r="I1312" s="2">
        <v>119.898110446499</v>
      </c>
      <c r="J1312" t="s">
        <v>8</v>
      </c>
    </row>
    <row r="1313" spans="1:10" x14ac:dyDescent="0.25">
      <c r="A1313" t="s">
        <v>277</v>
      </c>
      <c r="B1313" s="1">
        <f t="shared" si="80"/>
        <v>45189</v>
      </c>
      <c r="C1313" s="1" t="str">
        <f t="shared" si="81"/>
        <v>Wednesday</v>
      </c>
      <c r="D1313" s="1" t="str">
        <f t="shared" si="82"/>
        <v>September</v>
      </c>
      <c r="E1313" s="1" t="str">
        <f t="shared" si="83"/>
        <v>2023</v>
      </c>
      <c r="F1313" t="s">
        <v>9</v>
      </c>
      <c r="G1313" s="5">
        <v>1274.8153969354901</v>
      </c>
      <c r="H1313" s="10">
        <v>14</v>
      </c>
      <c r="I1313" s="2">
        <v>455.91022760936499</v>
      </c>
      <c r="J1313" t="s">
        <v>10</v>
      </c>
    </row>
    <row r="1314" spans="1:10" x14ac:dyDescent="0.25">
      <c r="A1314" t="s">
        <v>277</v>
      </c>
      <c r="B1314" s="1">
        <f t="shared" si="80"/>
        <v>45189</v>
      </c>
      <c r="C1314" s="1" t="str">
        <f t="shared" si="81"/>
        <v>Wednesday</v>
      </c>
      <c r="D1314" s="1" t="str">
        <f t="shared" si="82"/>
        <v>September</v>
      </c>
      <c r="E1314" s="1" t="str">
        <f t="shared" si="83"/>
        <v>2023</v>
      </c>
      <c r="F1314" t="s">
        <v>11</v>
      </c>
      <c r="G1314" s="5">
        <v>573.65457956313003</v>
      </c>
      <c r="H1314" s="10">
        <v>19</v>
      </c>
      <c r="I1314" s="2">
        <v>60.510476167528502</v>
      </c>
      <c r="J1314" t="s">
        <v>14</v>
      </c>
    </row>
    <row r="1315" spans="1:10" x14ac:dyDescent="0.25">
      <c r="A1315" t="s">
        <v>277</v>
      </c>
      <c r="B1315" s="1">
        <f t="shared" si="80"/>
        <v>45189</v>
      </c>
      <c r="C1315" s="1" t="str">
        <f t="shared" si="81"/>
        <v>Wednesday</v>
      </c>
      <c r="D1315" s="1" t="str">
        <f t="shared" si="82"/>
        <v>September</v>
      </c>
      <c r="E1315" s="1" t="str">
        <f t="shared" si="83"/>
        <v>2023</v>
      </c>
      <c r="F1315" t="s">
        <v>13</v>
      </c>
      <c r="G1315" s="5">
        <v>844.85887586537103</v>
      </c>
      <c r="H1315" s="10">
        <v>6</v>
      </c>
      <c r="I1315" s="2">
        <v>335.88780490789799</v>
      </c>
      <c r="J1315" t="s">
        <v>12</v>
      </c>
    </row>
    <row r="1316" spans="1:10" x14ac:dyDescent="0.25">
      <c r="A1316" t="s">
        <v>277</v>
      </c>
      <c r="B1316" s="1">
        <f t="shared" si="80"/>
        <v>45189</v>
      </c>
      <c r="C1316" s="1" t="str">
        <f t="shared" si="81"/>
        <v>Wednesday</v>
      </c>
      <c r="D1316" s="1" t="str">
        <f t="shared" si="82"/>
        <v>September</v>
      </c>
      <c r="E1316" s="1" t="str">
        <f t="shared" si="83"/>
        <v>2023</v>
      </c>
      <c r="F1316" t="s">
        <v>16</v>
      </c>
      <c r="G1316" s="5">
        <v>765.39895224668805</v>
      </c>
      <c r="H1316" s="10">
        <v>15</v>
      </c>
      <c r="I1316" s="2">
        <v>119.00123580381801</v>
      </c>
      <c r="J1316" t="s">
        <v>12</v>
      </c>
    </row>
    <row r="1317" spans="1:10" x14ac:dyDescent="0.25">
      <c r="A1317" t="s">
        <v>278</v>
      </c>
      <c r="B1317" s="1">
        <f t="shared" si="80"/>
        <v>45190</v>
      </c>
      <c r="C1317" s="1" t="str">
        <f t="shared" si="81"/>
        <v>Thursday</v>
      </c>
      <c r="D1317" s="1" t="str">
        <f t="shared" si="82"/>
        <v>September</v>
      </c>
      <c r="E1317" s="1" t="str">
        <f t="shared" si="83"/>
        <v>2023</v>
      </c>
      <c r="F1317" t="s">
        <v>7</v>
      </c>
      <c r="G1317" s="5">
        <v>772.89647559130003</v>
      </c>
      <c r="H1317" s="10">
        <v>3</v>
      </c>
      <c r="I1317" s="2">
        <v>161.352592562458</v>
      </c>
      <c r="J1317" t="s">
        <v>8</v>
      </c>
    </row>
    <row r="1318" spans="1:10" x14ac:dyDescent="0.25">
      <c r="A1318" t="s">
        <v>278</v>
      </c>
      <c r="B1318" s="1">
        <f t="shared" si="80"/>
        <v>45190</v>
      </c>
      <c r="C1318" s="1" t="str">
        <f t="shared" si="81"/>
        <v>Thursday</v>
      </c>
      <c r="D1318" s="1" t="str">
        <f t="shared" si="82"/>
        <v>September</v>
      </c>
      <c r="E1318" s="1" t="str">
        <f t="shared" si="83"/>
        <v>2023</v>
      </c>
      <c r="F1318" t="s">
        <v>9</v>
      </c>
      <c r="G1318" s="5">
        <v>377.32359727644001</v>
      </c>
      <c r="H1318" s="10">
        <v>2</v>
      </c>
      <c r="I1318" s="2">
        <v>132.81765274825901</v>
      </c>
      <c r="J1318" t="s">
        <v>12</v>
      </c>
    </row>
    <row r="1319" spans="1:10" x14ac:dyDescent="0.25">
      <c r="A1319" t="s">
        <v>278</v>
      </c>
      <c r="B1319" s="1">
        <f t="shared" si="80"/>
        <v>45190</v>
      </c>
      <c r="C1319" s="1" t="str">
        <f t="shared" si="81"/>
        <v>Thursday</v>
      </c>
      <c r="D1319" s="1" t="str">
        <f t="shared" si="82"/>
        <v>September</v>
      </c>
      <c r="E1319" s="1" t="str">
        <f t="shared" si="83"/>
        <v>2023</v>
      </c>
      <c r="F1319" t="s">
        <v>11</v>
      </c>
      <c r="G1319" s="5">
        <v>974.17992162732003</v>
      </c>
      <c r="H1319" s="10">
        <v>16</v>
      </c>
      <c r="I1319" s="2">
        <v>304.59631745121499</v>
      </c>
      <c r="J1319" t="s">
        <v>12</v>
      </c>
    </row>
    <row r="1320" spans="1:10" x14ac:dyDescent="0.25">
      <c r="A1320" t="s">
        <v>278</v>
      </c>
      <c r="B1320" s="1">
        <f t="shared" si="80"/>
        <v>45190</v>
      </c>
      <c r="C1320" s="1" t="str">
        <f t="shared" si="81"/>
        <v>Thursday</v>
      </c>
      <c r="D1320" s="1" t="str">
        <f t="shared" si="82"/>
        <v>September</v>
      </c>
      <c r="E1320" s="1" t="str">
        <f t="shared" si="83"/>
        <v>2023</v>
      </c>
      <c r="F1320" t="s">
        <v>13</v>
      </c>
      <c r="G1320" s="5">
        <v>687.22669159882696</v>
      </c>
      <c r="H1320" s="10">
        <v>15</v>
      </c>
      <c r="I1320" s="2">
        <v>230.18550090833099</v>
      </c>
      <c r="J1320" t="s">
        <v>12</v>
      </c>
    </row>
    <row r="1321" spans="1:10" x14ac:dyDescent="0.25">
      <c r="A1321" t="s">
        <v>278</v>
      </c>
      <c r="B1321" s="1">
        <f t="shared" si="80"/>
        <v>45190</v>
      </c>
      <c r="C1321" s="1" t="str">
        <f t="shared" si="81"/>
        <v>Thursday</v>
      </c>
      <c r="D1321" s="1" t="str">
        <f t="shared" si="82"/>
        <v>September</v>
      </c>
      <c r="E1321" s="1" t="str">
        <f t="shared" si="83"/>
        <v>2023</v>
      </c>
      <c r="F1321" t="s">
        <v>16</v>
      </c>
      <c r="G1321" s="5">
        <v>648.32987400000002</v>
      </c>
      <c r="H1321" s="10">
        <v>3</v>
      </c>
      <c r="I1321" s="2">
        <v>188.32167369999999</v>
      </c>
      <c r="J1321" t="s">
        <v>10</v>
      </c>
    </row>
    <row r="1322" spans="1:10" x14ac:dyDescent="0.25">
      <c r="A1322" t="s">
        <v>279</v>
      </c>
      <c r="B1322" s="1">
        <f t="shared" si="80"/>
        <v>45191</v>
      </c>
      <c r="C1322" s="1" t="str">
        <f t="shared" si="81"/>
        <v>Friday</v>
      </c>
      <c r="D1322" s="1" t="str">
        <f t="shared" si="82"/>
        <v>September</v>
      </c>
      <c r="E1322" s="1" t="str">
        <f t="shared" si="83"/>
        <v>2023</v>
      </c>
      <c r="F1322" t="s">
        <v>7</v>
      </c>
      <c r="G1322" s="5">
        <v>972.29759112444003</v>
      </c>
      <c r="H1322" s="10">
        <v>16</v>
      </c>
      <c r="I1322" s="2">
        <v>146.46982770374001</v>
      </c>
      <c r="J1322" t="s">
        <v>8</v>
      </c>
    </row>
    <row r="1323" spans="1:10" x14ac:dyDescent="0.25">
      <c r="A1323" t="s">
        <v>279</v>
      </c>
      <c r="B1323" s="1">
        <f t="shared" si="80"/>
        <v>45191</v>
      </c>
      <c r="C1323" s="1" t="str">
        <f t="shared" si="81"/>
        <v>Friday</v>
      </c>
      <c r="D1323" s="1" t="str">
        <f t="shared" si="82"/>
        <v>September</v>
      </c>
      <c r="E1323" s="1" t="str">
        <f t="shared" si="83"/>
        <v>2023</v>
      </c>
      <c r="F1323" t="s">
        <v>9</v>
      </c>
      <c r="G1323" s="5">
        <v>612.76334154821996</v>
      </c>
      <c r="H1323" s="10">
        <v>8</v>
      </c>
      <c r="I1323" s="2">
        <v>100.300591672208</v>
      </c>
      <c r="J1323" t="s">
        <v>14</v>
      </c>
    </row>
    <row r="1324" spans="1:10" x14ac:dyDescent="0.25">
      <c r="A1324" t="s">
        <v>279</v>
      </c>
      <c r="B1324" s="1">
        <f t="shared" si="80"/>
        <v>45191</v>
      </c>
      <c r="C1324" s="1" t="str">
        <f t="shared" si="81"/>
        <v>Friday</v>
      </c>
      <c r="D1324" s="1" t="str">
        <f t="shared" si="82"/>
        <v>September</v>
      </c>
      <c r="E1324" s="1" t="str">
        <f t="shared" si="83"/>
        <v>2023</v>
      </c>
      <c r="F1324" t="s">
        <v>11</v>
      </c>
      <c r="G1324" s="5">
        <v>95.699438234382001</v>
      </c>
      <c r="H1324" s="10">
        <v>7</v>
      </c>
      <c r="I1324" s="2">
        <v>238.73252801387</v>
      </c>
      <c r="J1324" t="s">
        <v>12</v>
      </c>
    </row>
    <row r="1325" spans="1:10" x14ac:dyDescent="0.25">
      <c r="A1325" t="s">
        <v>279</v>
      </c>
      <c r="B1325" s="1">
        <f t="shared" si="80"/>
        <v>45191</v>
      </c>
      <c r="C1325" s="1" t="str">
        <f t="shared" si="81"/>
        <v>Friday</v>
      </c>
      <c r="D1325" s="1" t="str">
        <f t="shared" si="82"/>
        <v>September</v>
      </c>
      <c r="E1325" s="1" t="str">
        <f t="shared" si="83"/>
        <v>2023</v>
      </c>
      <c r="F1325" t="s">
        <v>13</v>
      </c>
      <c r="G1325" s="5">
        <v>163.62859222500001</v>
      </c>
      <c r="H1325" s="10">
        <v>14</v>
      </c>
      <c r="I1325" s="2">
        <v>410.29986067813297</v>
      </c>
      <c r="J1325" t="s">
        <v>12</v>
      </c>
    </row>
    <row r="1326" spans="1:10" x14ac:dyDescent="0.25">
      <c r="A1326" t="s">
        <v>279</v>
      </c>
      <c r="B1326" s="1">
        <f t="shared" si="80"/>
        <v>45191</v>
      </c>
      <c r="C1326" s="1" t="str">
        <f t="shared" si="81"/>
        <v>Friday</v>
      </c>
      <c r="D1326" s="1" t="str">
        <f t="shared" si="82"/>
        <v>September</v>
      </c>
      <c r="E1326" s="1" t="str">
        <f t="shared" si="83"/>
        <v>2023</v>
      </c>
      <c r="F1326" t="s">
        <v>16</v>
      </c>
      <c r="G1326" s="5">
        <v>634.81519233385598</v>
      </c>
      <c r="H1326" s="10">
        <v>19</v>
      </c>
      <c r="I1326" s="2">
        <v>196.970844800636</v>
      </c>
      <c r="J1326" t="s">
        <v>12</v>
      </c>
    </row>
    <row r="1327" spans="1:10" x14ac:dyDescent="0.25">
      <c r="A1327" t="s">
        <v>280</v>
      </c>
      <c r="B1327" s="1">
        <f t="shared" si="80"/>
        <v>45192</v>
      </c>
      <c r="C1327" s="1" t="str">
        <f t="shared" si="81"/>
        <v>Saturday</v>
      </c>
      <c r="D1327" s="1" t="str">
        <f t="shared" si="82"/>
        <v>September</v>
      </c>
      <c r="E1327" s="1" t="str">
        <f t="shared" si="83"/>
        <v>2023</v>
      </c>
      <c r="F1327" t="s">
        <v>7</v>
      </c>
      <c r="G1327" s="5">
        <v>147.83875241230001</v>
      </c>
      <c r="H1327" s="10">
        <v>17</v>
      </c>
      <c r="I1327" s="2">
        <v>263.01123525423901</v>
      </c>
      <c r="J1327" t="s">
        <v>12</v>
      </c>
    </row>
    <row r="1328" spans="1:10" x14ac:dyDescent="0.25">
      <c r="A1328" t="s">
        <v>280</v>
      </c>
      <c r="B1328" s="1">
        <f t="shared" si="80"/>
        <v>45192</v>
      </c>
      <c r="C1328" s="1" t="str">
        <f t="shared" si="81"/>
        <v>Saturday</v>
      </c>
      <c r="D1328" s="1" t="str">
        <f t="shared" si="82"/>
        <v>September</v>
      </c>
      <c r="E1328" s="1" t="str">
        <f t="shared" si="83"/>
        <v>2023</v>
      </c>
      <c r="F1328" t="s">
        <v>9</v>
      </c>
      <c r="G1328" s="5">
        <v>696.81364876317798</v>
      </c>
      <c r="H1328" s="10">
        <v>1</v>
      </c>
      <c r="I1328" s="2">
        <v>102.244845101699</v>
      </c>
      <c r="J1328" t="s">
        <v>8</v>
      </c>
    </row>
    <row r="1329" spans="1:10" x14ac:dyDescent="0.25">
      <c r="A1329" t="s">
        <v>280</v>
      </c>
      <c r="B1329" s="1">
        <f t="shared" si="80"/>
        <v>45192</v>
      </c>
      <c r="C1329" s="1" t="str">
        <f t="shared" si="81"/>
        <v>Saturday</v>
      </c>
      <c r="D1329" s="1" t="str">
        <f t="shared" si="82"/>
        <v>September</v>
      </c>
      <c r="E1329" s="1" t="str">
        <f t="shared" si="83"/>
        <v>2023</v>
      </c>
      <c r="F1329" t="s">
        <v>11</v>
      </c>
      <c r="G1329" s="5">
        <v>1528.2968755676</v>
      </c>
      <c r="H1329" s="10">
        <v>6</v>
      </c>
      <c r="I1329" s="2">
        <v>516.47044750449299</v>
      </c>
      <c r="J1329" t="s">
        <v>12</v>
      </c>
    </row>
    <row r="1330" spans="1:10" x14ac:dyDescent="0.25">
      <c r="A1330" t="s">
        <v>280</v>
      </c>
      <c r="B1330" s="1">
        <f t="shared" si="80"/>
        <v>45192</v>
      </c>
      <c r="C1330" s="1" t="str">
        <f t="shared" si="81"/>
        <v>Saturday</v>
      </c>
      <c r="D1330" s="1" t="str">
        <f t="shared" si="82"/>
        <v>September</v>
      </c>
      <c r="E1330" s="1" t="str">
        <f t="shared" si="83"/>
        <v>2023</v>
      </c>
      <c r="F1330" t="s">
        <v>13</v>
      </c>
      <c r="G1330" s="5">
        <v>848.94875143381</v>
      </c>
      <c r="H1330" s="10">
        <v>13</v>
      </c>
      <c r="I1330" s="2">
        <v>328.28410175666198</v>
      </c>
      <c r="J1330" t="s">
        <v>14</v>
      </c>
    </row>
    <row r="1331" spans="1:10" x14ac:dyDescent="0.25">
      <c r="A1331" t="s">
        <v>280</v>
      </c>
      <c r="B1331" s="1">
        <f t="shared" si="80"/>
        <v>45192</v>
      </c>
      <c r="C1331" s="1" t="str">
        <f t="shared" si="81"/>
        <v>Saturday</v>
      </c>
      <c r="D1331" s="1" t="str">
        <f t="shared" si="82"/>
        <v>September</v>
      </c>
      <c r="E1331" s="1" t="str">
        <f t="shared" si="83"/>
        <v>2023</v>
      </c>
      <c r="F1331" t="s">
        <v>16</v>
      </c>
      <c r="G1331" s="5">
        <v>971.61286225212996</v>
      </c>
      <c r="H1331" s="10">
        <v>1</v>
      </c>
      <c r="I1331" s="2">
        <v>109.724272285512</v>
      </c>
      <c r="J1331" t="s">
        <v>8</v>
      </c>
    </row>
    <row r="1332" spans="1:10" x14ac:dyDescent="0.25">
      <c r="A1332" t="s">
        <v>281</v>
      </c>
      <c r="B1332" s="1">
        <f t="shared" si="80"/>
        <v>45193</v>
      </c>
      <c r="C1332" s="1" t="str">
        <f t="shared" si="81"/>
        <v>Sunday</v>
      </c>
      <c r="D1332" s="1" t="str">
        <f t="shared" si="82"/>
        <v>September</v>
      </c>
      <c r="E1332" s="1" t="str">
        <f t="shared" si="83"/>
        <v>2023</v>
      </c>
      <c r="F1332" t="s">
        <v>7</v>
      </c>
      <c r="G1332" s="5">
        <v>11.117617528629999</v>
      </c>
      <c r="H1332" s="10">
        <v>1</v>
      </c>
      <c r="I1332" s="2">
        <v>254.99663242036101</v>
      </c>
      <c r="J1332" t="s">
        <v>12</v>
      </c>
    </row>
    <row r="1333" spans="1:10" x14ac:dyDescent="0.25">
      <c r="A1333" t="s">
        <v>281</v>
      </c>
      <c r="B1333" s="1">
        <f t="shared" si="80"/>
        <v>45193</v>
      </c>
      <c r="C1333" s="1" t="str">
        <f t="shared" si="81"/>
        <v>Sunday</v>
      </c>
      <c r="D1333" s="1" t="str">
        <f t="shared" si="82"/>
        <v>September</v>
      </c>
      <c r="E1333" s="1" t="str">
        <f t="shared" si="83"/>
        <v>2023</v>
      </c>
      <c r="F1333" t="s">
        <v>9</v>
      </c>
      <c r="G1333" s="5">
        <v>1564.9246760000001</v>
      </c>
      <c r="H1333" s="10">
        <v>16</v>
      </c>
      <c r="I1333" s="2">
        <v>520.44756545688404</v>
      </c>
      <c r="J1333" t="s">
        <v>12</v>
      </c>
    </row>
    <row r="1334" spans="1:10" x14ac:dyDescent="0.25">
      <c r="A1334" t="s">
        <v>281</v>
      </c>
      <c r="B1334" s="1">
        <f t="shared" si="80"/>
        <v>45193</v>
      </c>
      <c r="C1334" s="1" t="str">
        <f t="shared" si="81"/>
        <v>Sunday</v>
      </c>
      <c r="D1334" s="1" t="str">
        <f t="shared" si="82"/>
        <v>September</v>
      </c>
      <c r="E1334" s="1" t="str">
        <f t="shared" si="83"/>
        <v>2023</v>
      </c>
      <c r="F1334" t="s">
        <v>11</v>
      </c>
      <c r="G1334" s="5">
        <v>1187.1849825536401</v>
      </c>
      <c r="H1334" s="10">
        <v>2</v>
      </c>
      <c r="I1334" s="2">
        <v>279.08907906888601</v>
      </c>
      <c r="J1334" t="s">
        <v>8</v>
      </c>
    </row>
    <row r="1335" spans="1:10" x14ac:dyDescent="0.25">
      <c r="A1335" t="s">
        <v>281</v>
      </c>
      <c r="B1335" s="1">
        <f t="shared" si="80"/>
        <v>45193</v>
      </c>
      <c r="C1335" s="1" t="str">
        <f t="shared" si="81"/>
        <v>Sunday</v>
      </c>
      <c r="D1335" s="1" t="str">
        <f t="shared" si="82"/>
        <v>September</v>
      </c>
      <c r="E1335" s="1" t="str">
        <f t="shared" si="83"/>
        <v>2023</v>
      </c>
      <c r="F1335" t="s">
        <v>13</v>
      </c>
      <c r="G1335" s="5">
        <v>139.14824569923999</v>
      </c>
      <c r="H1335" s="10">
        <v>7</v>
      </c>
      <c r="I1335" s="2">
        <v>509.128841674775</v>
      </c>
      <c r="J1335" t="s">
        <v>14</v>
      </c>
    </row>
    <row r="1336" spans="1:10" x14ac:dyDescent="0.25">
      <c r="A1336" t="s">
        <v>281</v>
      </c>
      <c r="B1336" s="1">
        <f t="shared" si="80"/>
        <v>45193</v>
      </c>
      <c r="C1336" s="1" t="str">
        <f t="shared" si="81"/>
        <v>Sunday</v>
      </c>
      <c r="D1336" s="1" t="str">
        <f t="shared" si="82"/>
        <v>September</v>
      </c>
      <c r="E1336" s="1" t="str">
        <f t="shared" si="83"/>
        <v>2023</v>
      </c>
      <c r="F1336" t="s">
        <v>16</v>
      </c>
      <c r="G1336" s="5">
        <v>1141.3219842833</v>
      </c>
      <c r="H1336" s="10">
        <v>9</v>
      </c>
      <c r="I1336" s="2">
        <v>228.762826510369</v>
      </c>
      <c r="J1336" t="s">
        <v>12</v>
      </c>
    </row>
    <row r="1337" spans="1:10" x14ac:dyDescent="0.25">
      <c r="A1337" t="s">
        <v>282</v>
      </c>
      <c r="B1337" s="1">
        <f t="shared" si="80"/>
        <v>45194</v>
      </c>
      <c r="C1337" s="1" t="str">
        <f t="shared" si="81"/>
        <v>Monday</v>
      </c>
      <c r="D1337" s="1" t="str">
        <f t="shared" si="82"/>
        <v>September</v>
      </c>
      <c r="E1337" s="1" t="str">
        <f t="shared" si="83"/>
        <v>2023</v>
      </c>
      <c r="F1337" t="s">
        <v>7</v>
      </c>
      <c r="G1337" s="5">
        <v>165.53931936000001</v>
      </c>
      <c r="H1337" s="10">
        <v>6</v>
      </c>
      <c r="I1337" s="2">
        <v>220.33271496811</v>
      </c>
      <c r="J1337" t="s">
        <v>10</v>
      </c>
    </row>
    <row r="1338" spans="1:10" x14ac:dyDescent="0.25">
      <c r="A1338" t="s">
        <v>282</v>
      </c>
      <c r="B1338" s="1">
        <f t="shared" si="80"/>
        <v>45194</v>
      </c>
      <c r="C1338" s="1" t="str">
        <f t="shared" si="81"/>
        <v>Monday</v>
      </c>
      <c r="D1338" s="1" t="str">
        <f t="shared" si="82"/>
        <v>September</v>
      </c>
      <c r="E1338" s="1" t="str">
        <f t="shared" si="83"/>
        <v>2023</v>
      </c>
      <c r="F1338" t="s">
        <v>9</v>
      </c>
      <c r="G1338" s="5">
        <v>1161.2884434760001</v>
      </c>
      <c r="H1338" s="10">
        <v>17</v>
      </c>
      <c r="I1338" s="2">
        <v>264.52233751024499</v>
      </c>
      <c r="J1338" t="s">
        <v>10</v>
      </c>
    </row>
    <row r="1339" spans="1:10" x14ac:dyDescent="0.25">
      <c r="A1339" t="s">
        <v>282</v>
      </c>
      <c r="B1339" s="1">
        <f t="shared" si="80"/>
        <v>45194</v>
      </c>
      <c r="C1339" s="1" t="str">
        <f t="shared" si="81"/>
        <v>Monday</v>
      </c>
      <c r="D1339" s="1" t="str">
        <f t="shared" si="82"/>
        <v>September</v>
      </c>
      <c r="E1339" s="1" t="str">
        <f t="shared" si="83"/>
        <v>2023</v>
      </c>
      <c r="F1339" t="s">
        <v>11</v>
      </c>
      <c r="G1339" s="5">
        <v>1277.3235618249</v>
      </c>
      <c r="H1339" s="10">
        <v>15</v>
      </c>
      <c r="I1339" s="2">
        <v>242.652138625916</v>
      </c>
      <c r="J1339" t="s">
        <v>14</v>
      </c>
    </row>
    <row r="1340" spans="1:10" x14ac:dyDescent="0.25">
      <c r="A1340" t="s">
        <v>282</v>
      </c>
      <c r="B1340" s="1">
        <f t="shared" si="80"/>
        <v>45194</v>
      </c>
      <c r="C1340" s="1" t="str">
        <f t="shared" si="81"/>
        <v>Monday</v>
      </c>
      <c r="D1340" s="1" t="str">
        <f t="shared" si="82"/>
        <v>September</v>
      </c>
      <c r="E1340" s="1" t="str">
        <f t="shared" si="83"/>
        <v>2023</v>
      </c>
      <c r="F1340" t="s">
        <v>13</v>
      </c>
      <c r="G1340" s="5">
        <v>141.46513933132999</v>
      </c>
      <c r="H1340" s="10">
        <v>15</v>
      </c>
      <c r="I1340" s="2">
        <v>341.385249599573</v>
      </c>
      <c r="J1340" t="s">
        <v>14</v>
      </c>
    </row>
    <row r="1341" spans="1:10" x14ac:dyDescent="0.25">
      <c r="A1341" t="s">
        <v>282</v>
      </c>
      <c r="B1341" s="1">
        <f t="shared" si="80"/>
        <v>45194</v>
      </c>
      <c r="C1341" s="1" t="str">
        <f t="shared" si="81"/>
        <v>Monday</v>
      </c>
      <c r="D1341" s="1" t="str">
        <f t="shared" si="82"/>
        <v>September</v>
      </c>
      <c r="E1341" s="1" t="str">
        <f t="shared" si="83"/>
        <v>2023</v>
      </c>
      <c r="F1341" t="s">
        <v>16</v>
      </c>
      <c r="G1341" s="5">
        <v>127.51632421230001</v>
      </c>
      <c r="H1341" s="10">
        <v>17</v>
      </c>
      <c r="I1341" s="2">
        <v>190.72479142268099</v>
      </c>
      <c r="J1341" t="s">
        <v>10</v>
      </c>
    </row>
    <row r="1342" spans="1:10" x14ac:dyDescent="0.25">
      <c r="A1342" t="s">
        <v>283</v>
      </c>
      <c r="B1342" s="1">
        <f t="shared" si="80"/>
        <v>45195</v>
      </c>
      <c r="C1342" s="1" t="str">
        <f t="shared" si="81"/>
        <v>Tuesday</v>
      </c>
      <c r="D1342" s="1" t="str">
        <f t="shared" si="82"/>
        <v>September</v>
      </c>
      <c r="E1342" s="1" t="str">
        <f t="shared" si="83"/>
        <v>2023</v>
      </c>
      <c r="F1342" t="s">
        <v>7</v>
      </c>
      <c r="G1342" s="5">
        <v>842.61277879959005</v>
      </c>
      <c r="H1342" s="10">
        <v>4</v>
      </c>
      <c r="I1342" s="2">
        <v>215.02177251813399</v>
      </c>
      <c r="J1342" t="s">
        <v>8</v>
      </c>
    </row>
    <row r="1343" spans="1:10" x14ac:dyDescent="0.25">
      <c r="A1343" t="s">
        <v>283</v>
      </c>
      <c r="B1343" s="1">
        <f t="shared" si="80"/>
        <v>45195</v>
      </c>
      <c r="C1343" s="1" t="str">
        <f t="shared" si="81"/>
        <v>Tuesday</v>
      </c>
      <c r="D1343" s="1" t="str">
        <f t="shared" si="82"/>
        <v>September</v>
      </c>
      <c r="E1343" s="1" t="str">
        <f t="shared" si="83"/>
        <v>2023</v>
      </c>
      <c r="F1343" t="s">
        <v>9</v>
      </c>
      <c r="G1343" s="5">
        <v>1148.9645429294001</v>
      </c>
      <c r="H1343" s="10">
        <v>15</v>
      </c>
      <c r="I1343" s="2">
        <v>183.47000032164101</v>
      </c>
      <c r="J1343" t="s">
        <v>14</v>
      </c>
    </row>
    <row r="1344" spans="1:10" x14ac:dyDescent="0.25">
      <c r="A1344" t="s">
        <v>283</v>
      </c>
      <c r="B1344" s="1">
        <f t="shared" si="80"/>
        <v>45195</v>
      </c>
      <c r="C1344" s="1" t="str">
        <f t="shared" si="81"/>
        <v>Tuesday</v>
      </c>
      <c r="D1344" s="1" t="str">
        <f t="shared" si="82"/>
        <v>September</v>
      </c>
      <c r="E1344" s="1" t="str">
        <f t="shared" si="83"/>
        <v>2023</v>
      </c>
      <c r="F1344" t="s">
        <v>11</v>
      </c>
      <c r="G1344" s="5">
        <v>89.348218944199999</v>
      </c>
      <c r="H1344" s="10">
        <v>5</v>
      </c>
      <c r="I1344" s="2">
        <v>185.297679390225</v>
      </c>
      <c r="J1344" t="s">
        <v>8</v>
      </c>
    </row>
    <row r="1345" spans="1:10" x14ac:dyDescent="0.25">
      <c r="A1345" t="s">
        <v>283</v>
      </c>
      <c r="B1345" s="1">
        <f t="shared" si="80"/>
        <v>45195</v>
      </c>
      <c r="C1345" s="1" t="str">
        <f t="shared" si="81"/>
        <v>Tuesday</v>
      </c>
      <c r="D1345" s="1" t="str">
        <f t="shared" si="82"/>
        <v>September</v>
      </c>
      <c r="E1345" s="1" t="str">
        <f t="shared" si="83"/>
        <v>2023</v>
      </c>
      <c r="F1345" t="s">
        <v>13</v>
      </c>
      <c r="G1345" s="5">
        <v>954.61233932430002</v>
      </c>
      <c r="H1345" s="10">
        <v>6</v>
      </c>
      <c r="I1345" s="2">
        <v>153.35318897801201</v>
      </c>
      <c r="J1345" t="s">
        <v>14</v>
      </c>
    </row>
    <row r="1346" spans="1:10" x14ac:dyDescent="0.25">
      <c r="A1346" t="s">
        <v>283</v>
      </c>
      <c r="B1346" s="1">
        <f t="shared" si="80"/>
        <v>45195</v>
      </c>
      <c r="C1346" s="1" t="str">
        <f t="shared" si="81"/>
        <v>Tuesday</v>
      </c>
      <c r="D1346" s="1" t="str">
        <f t="shared" si="82"/>
        <v>September</v>
      </c>
      <c r="E1346" s="1" t="str">
        <f t="shared" si="83"/>
        <v>2023</v>
      </c>
      <c r="F1346" t="s">
        <v>16</v>
      </c>
      <c r="G1346" s="5">
        <v>864.41518842643598</v>
      </c>
      <c r="H1346" s="10">
        <v>17</v>
      </c>
      <c r="I1346" s="2">
        <v>146.50083323184299</v>
      </c>
      <c r="J1346" t="s">
        <v>8</v>
      </c>
    </row>
    <row r="1347" spans="1:10" x14ac:dyDescent="0.25">
      <c r="A1347" t="s">
        <v>284</v>
      </c>
      <c r="B1347" s="1">
        <f t="shared" ref="B1347:B1410" si="84">DATE(VALUE(RIGHT(A1347,4)),VALUE(LEFT(A1347,FIND("/",A1347)-1)),VALUE(MID(A1347,FIND("/",A1347)+1,FIND("/",A1347,FIND("/",A1347)+1)-FIND("/",A1347)-1)))</f>
        <v>45196</v>
      </c>
      <c r="C1347" s="1" t="str">
        <f t="shared" ref="C1347:C1410" si="85">TEXT(B1347,"DDDD")</f>
        <v>Wednesday</v>
      </c>
      <c r="D1347" s="1" t="str">
        <f t="shared" ref="D1347:D1410" si="86">TEXT(B1347,"MMMM")</f>
        <v>September</v>
      </c>
      <c r="E1347" s="1" t="str">
        <f t="shared" ref="E1347:E1410" si="87">TEXT(B1347,"YYYY")</f>
        <v>2023</v>
      </c>
      <c r="F1347" t="s">
        <v>7</v>
      </c>
      <c r="G1347" s="5">
        <v>763.19844828497003</v>
      </c>
      <c r="H1347" s="10">
        <v>2</v>
      </c>
      <c r="I1347" s="2">
        <v>167.27893631422199</v>
      </c>
      <c r="J1347" t="s">
        <v>14</v>
      </c>
    </row>
    <row r="1348" spans="1:10" x14ac:dyDescent="0.25">
      <c r="A1348" t="s">
        <v>284</v>
      </c>
      <c r="B1348" s="1">
        <f t="shared" si="84"/>
        <v>45196</v>
      </c>
      <c r="C1348" s="1" t="str">
        <f t="shared" si="85"/>
        <v>Wednesday</v>
      </c>
      <c r="D1348" s="1" t="str">
        <f t="shared" si="86"/>
        <v>September</v>
      </c>
      <c r="E1348" s="1" t="str">
        <f t="shared" si="87"/>
        <v>2023</v>
      </c>
      <c r="F1348" t="s">
        <v>9</v>
      </c>
      <c r="G1348" s="5">
        <v>888.44263531640001</v>
      </c>
      <c r="H1348" s="10">
        <v>17</v>
      </c>
      <c r="I1348" s="2">
        <v>118.559388088285</v>
      </c>
      <c r="J1348" t="s">
        <v>12</v>
      </c>
    </row>
    <row r="1349" spans="1:10" x14ac:dyDescent="0.25">
      <c r="A1349" t="s">
        <v>284</v>
      </c>
      <c r="B1349" s="1">
        <f t="shared" si="84"/>
        <v>45196</v>
      </c>
      <c r="C1349" s="1" t="str">
        <f t="shared" si="85"/>
        <v>Wednesday</v>
      </c>
      <c r="D1349" s="1" t="str">
        <f t="shared" si="86"/>
        <v>September</v>
      </c>
      <c r="E1349" s="1" t="str">
        <f t="shared" si="87"/>
        <v>2023</v>
      </c>
      <c r="F1349" t="s">
        <v>11</v>
      </c>
      <c r="G1349" s="5">
        <v>781.46151349589695</v>
      </c>
      <c r="H1349" s="10">
        <v>16</v>
      </c>
      <c r="I1349" s="2">
        <v>214.48716436813399</v>
      </c>
      <c r="J1349" t="s">
        <v>12</v>
      </c>
    </row>
    <row r="1350" spans="1:10" x14ac:dyDescent="0.25">
      <c r="A1350" t="s">
        <v>284</v>
      </c>
      <c r="B1350" s="1">
        <f t="shared" si="84"/>
        <v>45196</v>
      </c>
      <c r="C1350" s="1" t="str">
        <f t="shared" si="85"/>
        <v>Wednesday</v>
      </c>
      <c r="D1350" s="1" t="str">
        <f t="shared" si="86"/>
        <v>September</v>
      </c>
      <c r="E1350" s="1" t="str">
        <f t="shared" si="87"/>
        <v>2023</v>
      </c>
      <c r="F1350" t="s">
        <v>13</v>
      </c>
      <c r="G1350" s="5">
        <v>195.85741234880001</v>
      </c>
      <c r="H1350" s="10">
        <v>10</v>
      </c>
      <c r="I1350" s="2">
        <v>285.32594313672303</v>
      </c>
      <c r="J1350" t="s">
        <v>12</v>
      </c>
    </row>
    <row r="1351" spans="1:10" x14ac:dyDescent="0.25">
      <c r="A1351" t="s">
        <v>284</v>
      </c>
      <c r="B1351" s="1">
        <f t="shared" si="84"/>
        <v>45196</v>
      </c>
      <c r="C1351" s="1" t="str">
        <f t="shared" si="85"/>
        <v>Wednesday</v>
      </c>
      <c r="D1351" s="1" t="str">
        <f t="shared" si="86"/>
        <v>September</v>
      </c>
      <c r="E1351" s="1" t="str">
        <f t="shared" si="87"/>
        <v>2023</v>
      </c>
      <c r="F1351" t="s">
        <v>16</v>
      </c>
      <c r="G1351" s="5">
        <v>1496.8518547680001</v>
      </c>
      <c r="H1351" s="10">
        <v>10</v>
      </c>
      <c r="I1351" s="2">
        <v>224.216503595983</v>
      </c>
      <c r="J1351" t="s">
        <v>8</v>
      </c>
    </row>
    <row r="1352" spans="1:10" x14ac:dyDescent="0.25">
      <c r="A1352" t="s">
        <v>285</v>
      </c>
      <c r="B1352" s="1">
        <f t="shared" si="84"/>
        <v>45197</v>
      </c>
      <c r="C1352" s="1" t="str">
        <f t="shared" si="85"/>
        <v>Thursday</v>
      </c>
      <c r="D1352" s="1" t="str">
        <f t="shared" si="86"/>
        <v>September</v>
      </c>
      <c r="E1352" s="1" t="str">
        <f t="shared" si="87"/>
        <v>2023</v>
      </c>
      <c r="F1352" t="s">
        <v>7</v>
      </c>
      <c r="G1352" s="5">
        <v>612.78474463476005</v>
      </c>
      <c r="H1352" s="10">
        <v>14</v>
      </c>
      <c r="I1352" s="2">
        <v>200.96097822537101</v>
      </c>
      <c r="J1352" t="s">
        <v>10</v>
      </c>
    </row>
    <row r="1353" spans="1:10" x14ac:dyDescent="0.25">
      <c r="A1353" t="s">
        <v>285</v>
      </c>
      <c r="B1353" s="1">
        <f t="shared" si="84"/>
        <v>45197</v>
      </c>
      <c r="C1353" s="1" t="str">
        <f t="shared" si="85"/>
        <v>Thursday</v>
      </c>
      <c r="D1353" s="1" t="str">
        <f t="shared" si="86"/>
        <v>September</v>
      </c>
      <c r="E1353" s="1" t="str">
        <f t="shared" si="87"/>
        <v>2023</v>
      </c>
      <c r="F1353" t="s">
        <v>9</v>
      </c>
      <c r="G1353" s="5">
        <v>1128.8576267399999</v>
      </c>
      <c r="H1353" s="10">
        <v>4</v>
      </c>
      <c r="I1353" s="2">
        <v>435.28838225849597</v>
      </c>
      <c r="J1353" t="s">
        <v>14</v>
      </c>
    </row>
    <row r="1354" spans="1:10" x14ac:dyDescent="0.25">
      <c r="A1354" t="s">
        <v>285</v>
      </c>
      <c r="B1354" s="1">
        <f t="shared" si="84"/>
        <v>45197</v>
      </c>
      <c r="C1354" s="1" t="str">
        <f t="shared" si="85"/>
        <v>Thursday</v>
      </c>
      <c r="D1354" s="1" t="str">
        <f t="shared" si="86"/>
        <v>September</v>
      </c>
      <c r="E1354" s="1" t="str">
        <f t="shared" si="87"/>
        <v>2023</v>
      </c>
      <c r="F1354" t="s">
        <v>11</v>
      </c>
      <c r="G1354" s="5">
        <v>151.47488522331</v>
      </c>
      <c r="H1354" s="10">
        <v>12</v>
      </c>
      <c r="I1354" s="2">
        <v>172.49209618596299</v>
      </c>
      <c r="J1354" t="s">
        <v>10</v>
      </c>
    </row>
    <row r="1355" spans="1:10" x14ac:dyDescent="0.25">
      <c r="A1355" t="s">
        <v>285</v>
      </c>
      <c r="B1355" s="1">
        <f t="shared" si="84"/>
        <v>45197</v>
      </c>
      <c r="C1355" s="1" t="str">
        <f t="shared" si="85"/>
        <v>Thursday</v>
      </c>
      <c r="D1355" s="1" t="str">
        <f t="shared" si="86"/>
        <v>September</v>
      </c>
      <c r="E1355" s="1" t="str">
        <f t="shared" si="87"/>
        <v>2023</v>
      </c>
      <c r="F1355" t="s">
        <v>13</v>
      </c>
      <c r="G1355" s="5">
        <v>1527.9915772899999</v>
      </c>
      <c r="H1355" s="10">
        <v>15</v>
      </c>
      <c r="I1355" s="2">
        <v>252.064912096169</v>
      </c>
      <c r="J1355" t="s">
        <v>10</v>
      </c>
    </row>
    <row r="1356" spans="1:10" x14ac:dyDescent="0.25">
      <c r="A1356" t="s">
        <v>285</v>
      </c>
      <c r="B1356" s="1">
        <f t="shared" si="84"/>
        <v>45197</v>
      </c>
      <c r="C1356" s="1" t="str">
        <f t="shared" si="85"/>
        <v>Thursday</v>
      </c>
      <c r="D1356" s="1" t="str">
        <f t="shared" si="86"/>
        <v>September</v>
      </c>
      <c r="E1356" s="1" t="str">
        <f t="shared" si="87"/>
        <v>2023</v>
      </c>
      <c r="F1356" t="s">
        <v>16</v>
      </c>
      <c r="G1356" s="5">
        <v>19.5126752</v>
      </c>
      <c r="H1356" s="10">
        <v>14</v>
      </c>
      <c r="I1356" s="2">
        <v>423.62520770840501</v>
      </c>
      <c r="J1356" t="s">
        <v>12</v>
      </c>
    </row>
    <row r="1357" spans="1:10" x14ac:dyDescent="0.25">
      <c r="A1357" t="s">
        <v>286</v>
      </c>
      <c r="B1357" s="1">
        <f t="shared" si="84"/>
        <v>45198</v>
      </c>
      <c r="C1357" s="1" t="str">
        <f t="shared" si="85"/>
        <v>Friday</v>
      </c>
      <c r="D1357" s="1" t="str">
        <f t="shared" si="86"/>
        <v>September</v>
      </c>
      <c r="E1357" s="1" t="str">
        <f t="shared" si="87"/>
        <v>2023</v>
      </c>
      <c r="F1357" t="s">
        <v>7</v>
      </c>
      <c r="G1357" s="5">
        <v>152.66868873569999</v>
      </c>
      <c r="H1357" s="10">
        <v>3</v>
      </c>
      <c r="I1357" s="2">
        <v>216.31650490000001</v>
      </c>
      <c r="J1357" t="s">
        <v>12</v>
      </c>
    </row>
    <row r="1358" spans="1:10" x14ac:dyDescent="0.25">
      <c r="A1358" t="s">
        <v>286</v>
      </c>
      <c r="B1358" s="1">
        <f t="shared" si="84"/>
        <v>45198</v>
      </c>
      <c r="C1358" s="1" t="str">
        <f t="shared" si="85"/>
        <v>Friday</v>
      </c>
      <c r="D1358" s="1" t="str">
        <f t="shared" si="86"/>
        <v>September</v>
      </c>
      <c r="E1358" s="1" t="str">
        <f t="shared" si="87"/>
        <v>2023</v>
      </c>
      <c r="F1358" t="s">
        <v>9</v>
      </c>
      <c r="G1358" s="5">
        <v>456.76719832190003</v>
      </c>
      <c r="H1358" s="10">
        <v>12</v>
      </c>
      <c r="I1358" s="2">
        <v>156.91649829475901</v>
      </c>
      <c r="J1358" t="s">
        <v>10</v>
      </c>
    </row>
    <row r="1359" spans="1:10" x14ac:dyDescent="0.25">
      <c r="A1359" t="s">
        <v>286</v>
      </c>
      <c r="B1359" s="1">
        <f t="shared" si="84"/>
        <v>45198</v>
      </c>
      <c r="C1359" s="1" t="str">
        <f t="shared" si="85"/>
        <v>Friday</v>
      </c>
      <c r="D1359" s="1" t="str">
        <f t="shared" si="86"/>
        <v>September</v>
      </c>
      <c r="E1359" s="1" t="str">
        <f t="shared" si="87"/>
        <v>2023</v>
      </c>
      <c r="F1359" t="s">
        <v>11</v>
      </c>
      <c r="G1359" s="5">
        <v>1144.9197778390001</v>
      </c>
      <c r="H1359" s="10">
        <v>3</v>
      </c>
      <c r="I1359" s="2">
        <v>263.45536582617302</v>
      </c>
      <c r="J1359" t="s">
        <v>10</v>
      </c>
    </row>
    <row r="1360" spans="1:10" x14ac:dyDescent="0.25">
      <c r="A1360" t="s">
        <v>286</v>
      </c>
      <c r="B1360" s="1">
        <f t="shared" si="84"/>
        <v>45198</v>
      </c>
      <c r="C1360" s="1" t="str">
        <f t="shared" si="85"/>
        <v>Friday</v>
      </c>
      <c r="D1360" s="1" t="str">
        <f t="shared" si="86"/>
        <v>September</v>
      </c>
      <c r="E1360" s="1" t="str">
        <f t="shared" si="87"/>
        <v>2023</v>
      </c>
      <c r="F1360" t="s">
        <v>13</v>
      </c>
      <c r="G1360" s="5">
        <v>1137.9293640000001</v>
      </c>
      <c r="H1360" s="10">
        <v>14</v>
      </c>
      <c r="I1360" s="2">
        <v>366.69815920273999</v>
      </c>
      <c r="J1360" t="s">
        <v>14</v>
      </c>
    </row>
    <row r="1361" spans="1:10" x14ac:dyDescent="0.25">
      <c r="A1361" t="s">
        <v>286</v>
      </c>
      <c r="B1361" s="1">
        <f t="shared" si="84"/>
        <v>45198</v>
      </c>
      <c r="C1361" s="1" t="str">
        <f t="shared" si="85"/>
        <v>Friday</v>
      </c>
      <c r="D1361" s="1" t="str">
        <f t="shared" si="86"/>
        <v>September</v>
      </c>
      <c r="E1361" s="1" t="str">
        <f t="shared" si="87"/>
        <v>2023</v>
      </c>
      <c r="F1361" t="s">
        <v>16</v>
      </c>
      <c r="G1361" s="5">
        <v>1393.8779617593</v>
      </c>
      <c r="H1361" s="10">
        <v>1</v>
      </c>
      <c r="I1361" s="2">
        <v>160.82347121450701</v>
      </c>
      <c r="J1361" t="s">
        <v>12</v>
      </c>
    </row>
    <row r="1362" spans="1:10" x14ac:dyDescent="0.25">
      <c r="A1362" t="s">
        <v>287</v>
      </c>
      <c r="B1362" s="1">
        <f t="shared" si="84"/>
        <v>45199</v>
      </c>
      <c r="C1362" s="1" t="str">
        <f t="shared" si="85"/>
        <v>Saturday</v>
      </c>
      <c r="D1362" s="1" t="str">
        <f t="shared" si="86"/>
        <v>September</v>
      </c>
      <c r="E1362" s="1" t="str">
        <f t="shared" si="87"/>
        <v>2023</v>
      </c>
      <c r="F1362" t="s">
        <v>7</v>
      </c>
      <c r="G1362" s="5">
        <v>952.37748196918801</v>
      </c>
      <c r="H1362" s="10">
        <v>8</v>
      </c>
      <c r="I1362" s="2">
        <v>309.22644010815901</v>
      </c>
      <c r="J1362" t="s">
        <v>14</v>
      </c>
    </row>
    <row r="1363" spans="1:10" x14ac:dyDescent="0.25">
      <c r="A1363" t="s">
        <v>287</v>
      </c>
      <c r="B1363" s="1">
        <f t="shared" si="84"/>
        <v>45199</v>
      </c>
      <c r="C1363" s="1" t="str">
        <f t="shared" si="85"/>
        <v>Saturday</v>
      </c>
      <c r="D1363" s="1" t="str">
        <f t="shared" si="86"/>
        <v>September</v>
      </c>
      <c r="E1363" s="1" t="str">
        <f t="shared" si="87"/>
        <v>2023</v>
      </c>
      <c r="F1363" t="s">
        <v>9</v>
      </c>
      <c r="G1363" s="5">
        <v>814.85944746928305</v>
      </c>
      <c r="H1363" s="10">
        <v>6</v>
      </c>
      <c r="I1363" s="2">
        <v>236.65412277824601</v>
      </c>
      <c r="J1363" t="s">
        <v>14</v>
      </c>
    </row>
    <row r="1364" spans="1:10" x14ac:dyDescent="0.25">
      <c r="A1364" t="s">
        <v>287</v>
      </c>
      <c r="B1364" s="1">
        <f t="shared" si="84"/>
        <v>45199</v>
      </c>
      <c r="C1364" s="1" t="str">
        <f t="shared" si="85"/>
        <v>Saturday</v>
      </c>
      <c r="D1364" s="1" t="str">
        <f t="shared" si="86"/>
        <v>September</v>
      </c>
      <c r="E1364" s="1" t="str">
        <f t="shared" si="87"/>
        <v>2023</v>
      </c>
      <c r="F1364" t="s">
        <v>11</v>
      </c>
      <c r="G1364" s="5">
        <v>657.61287857318302</v>
      </c>
      <c r="H1364" s="10">
        <v>14</v>
      </c>
      <c r="I1364" s="2">
        <v>123.350651984789</v>
      </c>
      <c r="J1364" t="s">
        <v>12</v>
      </c>
    </row>
    <row r="1365" spans="1:10" x14ac:dyDescent="0.25">
      <c r="A1365" t="s">
        <v>287</v>
      </c>
      <c r="B1365" s="1">
        <f t="shared" si="84"/>
        <v>45199</v>
      </c>
      <c r="C1365" s="1" t="str">
        <f t="shared" si="85"/>
        <v>Saturday</v>
      </c>
      <c r="D1365" s="1" t="str">
        <f t="shared" si="86"/>
        <v>September</v>
      </c>
      <c r="E1365" s="1" t="str">
        <f t="shared" si="87"/>
        <v>2023</v>
      </c>
      <c r="F1365" t="s">
        <v>13</v>
      </c>
      <c r="G1365" s="5">
        <v>1197.11826277</v>
      </c>
      <c r="H1365" s="10">
        <v>13</v>
      </c>
      <c r="I1365" s="2">
        <v>256.356318556605</v>
      </c>
      <c r="J1365" t="s">
        <v>10</v>
      </c>
    </row>
    <row r="1366" spans="1:10" x14ac:dyDescent="0.25">
      <c r="A1366" t="s">
        <v>287</v>
      </c>
      <c r="B1366" s="1">
        <f t="shared" si="84"/>
        <v>45199</v>
      </c>
      <c r="C1366" s="1" t="str">
        <f t="shared" si="85"/>
        <v>Saturday</v>
      </c>
      <c r="D1366" s="1" t="str">
        <f t="shared" si="86"/>
        <v>September</v>
      </c>
      <c r="E1366" s="1" t="str">
        <f t="shared" si="87"/>
        <v>2023</v>
      </c>
      <c r="F1366" t="s">
        <v>16</v>
      </c>
      <c r="G1366" s="5">
        <v>973.76941366845006</v>
      </c>
      <c r="H1366" s="10">
        <v>17</v>
      </c>
      <c r="I1366" s="2">
        <v>359.69733413230102</v>
      </c>
      <c r="J1366" t="s">
        <v>14</v>
      </c>
    </row>
    <row r="1367" spans="1:10" x14ac:dyDescent="0.25">
      <c r="A1367" t="s">
        <v>288</v>
      </c>
      <c r="B1367" s="1">
        <f t="shared" si="84"/>
        <v>45200</v>
      </c>
      <c r="C1367" s="1" t="str">
        <f t="shared" si="85"/>
        <v>Sunday</v>
      </c>
      <c r="D1367" s="1" t="str">
        <f t="shared" si="86"/>
        <v>October</v>
      </c>
      <c r="E1367" s="1" t="str">
        <f t="shared" si="87"/>
        <v>2023</v>
      </c>
      <c r="F1367" t="s">
        <v>7</v>
      </c>
      <c r="G1367" s="5">
        <v>1164.49588826634</v>
      </c>
      <c r="H1367" s="10">
        <v>1</v>
      </c>
      <c r="I1367" s="2">
        <v>363.53660425812899</v>
      </c>
      <c r="J1367" t="s">
        <v>14</v>
      </c>
    </row>
    <row r="1368" spans="1:10" x14ac:dyDescent="0.25">
      <c r="A1368" t="s">
        <v>288</v>
      </c>
      <c r="B1368" s="1">
        <f t="shared" si="84"/>
        <v>45200</v>
      </c>
      <c r="C1368" s="1" t="str">
        <f t="shared" si="85"/>
        <v>Sunday</v>
      </c>
      <c r="D1368" s="1" t="str">
        <f t="shared" si="86"/>
        <v>October</v>
      </c>
      <c r="E1368" s="1" t="str">
        <f t="shared" si="87"/>
        <v>2023</v>
      </c>
      <c r="F1368" t="s">
        <v>9</v>
      </c>
      <c r="G1368" s="5">
        <v>1342.84289163326</v>
      </c>
      <c r="H1368" s="10">
        <v>16</v>
      </c>
      <c r="I1368" s="2">
        <v>134.664346709125</v>
      </c>
      <c r="J1368" t="s">
        <v>12</v>
      </c>
    </row>
    <row r="1369" spans="1:10" x14ac:dyDescent="0.25">
      <c r="A1369" t="s">
        <v>288</v>
      </c>
      <c r="B1369" s="1">
        <f t="shared" si="84"/>
        <v>45200</v>
      </c>
      <c r="C1369" s="1" t="str">
        <f t="shared" si="85"/>
        <v>Sunday</v>
      </c>
      <c r="D1369" s="1" t="str">
        <f t="shared" si="86"/>
        <v>October</v>
      </c>
      <c r="E1369" s="1" t="str">
        <f t="shared" si="87"/>
        <v>2023</v>
      </c>
      <c r="F1369" t="s">
        <v>11</v>
      </c>
      <c r="G1369" s="5">
        <v>1371.588497533</v>
      </c>
      <c r="H1369" s="10">
        <v>10</v>
      </c>
      <c r="I1369" s="2">
        <v>539.25690863759405</v>
      </c>
      <c r="J1369" t="s">
        <v>10</v>
      </c>
    </row>
    <row r="1370" spans="1:10" x14ac:dyDescent="0.25">
      <c r="A1370" t="s">
        <v>288</v>
      </c>
      <c r="B1370" s="1">
        <f t="shared" si="84"/>
        <v>45200</v>
      </c>
      <c r="C1370" s="1" t="str">
        <f t="shared" si="85"/>
        <v>Sunday</v>
      </c>
      <c r="D1370" s="1" t="str">
        <f t="shared" si="86"/>
        <v>October</v>
      </c>
      <c r="E1370" s="1" t="str">
        <f t="shared" si="87"/>
        <v>2023</v>
      </c>
      <c r="F1370" t="s">
        <v>13</v>
      </c>
      <c r="G1370" s="5">
        <v>679.23682911650997</v>
      </c>
      <c r="H1370" s="10">
        <v>16</v>
      </c>
      <c r="I1370" s="2">
        <v>180.1323352</v>
      </c>
      <c r="J1370" t="s">
        <v>14</v>
      </c>
    </row>
    <row r="1371" spans="1:10" x14ac:dyDescent="0.25">
      <c r="A1371" t="s">
        <v>288</v>
      </c>
      <c r="B1371" s="1">
        <f t="shared" si="84"/>
        <v>45200</v>
      </c>
      <c r="C1371" s="1" t="str">
        <f t="shared" si="85"/>
        <v>Sunday</v>
      </c>
      <c r="D1371" s="1" t="str">
        <f t="shared" si="86"/>
        <v>October</v>
      </c>
      <c r="E1371" s="1" t="str">
        <f t="shared" si="87"/>
        <v>2023</v>
      </c>
      <c r="F1371" t="s">
        <v>16</v>
      </c>
      <c r="G1371" s="5">
        <v>524.95524518499997</v>
      </c>
      <c r="H1371" s="10">
        <v>14</v>
      </c>
      <c r="I1371" s="2">
        <v>147.01300461597</v>
      </c>
      <c r="J1371" t="s">
        <v>14</v>
      </c>
    </row>
    <row r="1372" spans="1:10" x14ac:dyDescent="0.25">
      <c r="A1372" t="s">
        <v>289</v>
      </c>
      <c r="B1372" s="1">
        <f t="shared" si="84"/>
        <v>45201</v>
      </c>
      <c r="C1372" s="1" t="str">
        <f t="shared" si="85"/>
        <v>Monday</v>
      </c>
      <c r="D1372" s="1" t="str">
        <f t="shared" si="86"/>
        <v>October</v>
      </c>
      <c r="E1372" s="1" t="str">
        <f t="shared" si="87"/>
        <v>2023</v>
      </c>
      <c r="F1372" t="s">
        <v>7</v>
      </c>
      <c r="G1372" s="5">
        <v>1235.4589647763</v>
      </c>
      <c r="H1372" s="10">
        <v>14</v>
      </c>
      <c r="I1372" s="2">
        <v>336.01768225793398</v>
      </c>
      <c r="J1372" t="s">
        <v>12</v>
      </c>
    </row>
    <row r="1373" spans="1:10" x14ac:dyDescent="0.25">
      <c r="A1373" t="s">
        <v>289</v>
      </c>
      <c r="B1373" s="1">
        <f t="shared" si="84"/>
        <v>45201</v>
      </c>
      <c r="C1373" s="1" t="str">
        <f t="shared" si="85"/>
        <v>Monday</v>
      </c>
      <c r="D1373" s="1" t="str">
        <f t="shared" si="86"/>
        <v>October</v>
      </c>
      <c r="E1373" s="1" t="str">
        <f t="shared" si="87"/>
        <v>2023</v>
      </c>
      <c r="F1373" t="s">
        <v>9</v>
      </c>
      <c r="G1373" s="5">
        <v>1132.7872567700001</v>
      </c>
      <c r="H1373" s="10">
        <v>12</v>
      </c>
      <c r="I1373" s="2">
        <v>333.65044160000002</v>
      </c>
      <c r="J1373" t="s">
        <v>12</v>
      </c>
    </row>
    <row r="1374" spans="1:10" x14ac:dyDescent="0.25">
      <c r="A1374" t="s">
        <v>289</v>
      </c>
      <c r="B1374" s="1">
        <f t="shared" si="84"/>
        <v>45201</v>
      </c>
      <c r="C1374" s="1" t="str">
        <f t="shared" si="85"/>
        <v>Monday</v>
      </c>
      <c r="D1374" s="1" t="str">
        <f t="shared" si="86"/>
        <v>October</v>
      </c>
      <c r="E1374" s="1" t="str">
        <f t="shared" si="87"/>
        <v>2023</v>
      </c>
      <c r="F1374" t="s">
        <v>11</v>
      </c>
      <c r="G1374" s="5">
        <v>61.426127000000001</v>
      </c>
      <c r="H1374" s="10">
        <v>18</v>
      </c>
      <c r="I1374" s="2">
        <v>119.294582352921</v>
      </c>
      <c r="J1374" t="s">
        <v>10</v>
      </c>
    </row>
    <row r="1375" spans="1:10" x14ac:dyDescent="0.25">
      <c r="A1375" t="s">
        <v>289</v>
      </c>
      <c r="B1375" s="1">
        <f t="shared" si="84"/>
        <v>45201</v>
      </c>
      <c r="C1375" s="1" t="str">
        <f t="shared" si="85"/>
        <v>Monday</v>
      </c>
      <c r="D1375" s="1" t="str">
        <f t="shared" si="86"/>
        <v>October</v>
      </c>
      <c r="E1375" s="1" t="str">
        <f t="shared" si="87"/>
        <v>2023</v>
      </c>
      <c r="F1375" t="s">
        <v>13</v>
      </c>
      <c r="G1375" s="5">
        <v>996.59644367415001</v>
      </c>
      <c r="H1375" s="10">
        <v>19</v>
      </c>
      <c r="I1375" s="2">
        <v>156.98473398424301</v>
      </c>
      <c r="J1375" t="s">
        <v>14</v>
      </c>
    </row>
    <row r="1376" spans="1:10" x14ac:dyDescent="0.25">
      <c r="A1376" t="s">
        <v>289</v>
      </c>
      <c r="B1376" s="1">
        <f t="shared" si="84"/>
        <v>45201</v>
      </c>
      <c r="C1376" s="1" t="str">
        <f t="shared" si="85"/>
        <v>Monday</v>
      </c>
      <c r="D1376" s="1" t="str">
        <f t="shared" si="86"/>
        <v>October</v>
      </c>
      <c r="E1376" s="1" t="str">
        <f t="shared" si="87"/>
        <v>2023</v>
      </c>
      <c r="F1376" t="s">
        <v>16</v>
      </c>
      <c r="G1376" s="5">
        <v>876.33377649265799</v>
      </c>
      <c r="H1376" s="10">
        <v>11</v>
      </c>
      <c r="I1376" s="2">
        <v>109.786490714401</v>
      </c>
      <c r="J1376" t="s">
        <v>10</v>
      </c>
    </row>
    <row r="1377" spans="1:10" x14ac:dyDescent="0.25">
      <c r="A1377" t="s">
        <v>290</v>
      </c>
      <c r="B1377" s="1">
        <f t="shared" si="84"/>
        <v>45202</v>
      </c>
      <c r="C1377" s="1" t="str">
        <f t="shared" si="85"/>
        <v>Tuesday</v>
      </c>
      <c r="D1377" s="1" t="str">
        <f t="shared" si="86"/>
        <v>October</v>
      </c>
      <c r="E1377" s="1" t="str">
        <f t="shared" si="87"/>
        <v>2023</v>
      </c>
      <c r="F1377" t="s">
        <v>7</v>
      </c>
      <c r="G1377" s="5">
        <v>1274.4211965219999</v>
      </c>
      <c r="H1377" s="10">
        <v>5</v>
      </c>
      <c r="I1377" s="2">
        <v>196.89721630128099</v>
      </c>
      <c r="J1377" t="s">
        <v>14</v>
      </c>
    </row>
    <row r="1378" spans="1:10" x14ac:dyDescent="0.25">
      <c r="A1378" t="s">
        <v>290</v>
      </c>
      <c r="B1378" s="1">
        <f t="shared" si="84"/>
        <v>45202</v>
      </c>
      <c r="C1378" s="1" t="str">
        <f t="shared" si="85"/>
        <v>Tuesday</v>
      </c>
      <c r="D1378" s="1" t="str">
        <f t="shared" si="86"/>
        <v>October</v>
      </c>
      <c r="E1378" s="1" t="str">
        <f t="shared" si="87"/>
        <v>2023</v>
      </c>
      <c r="F1378" t="s">
        <v>9</v>
      </c>
      <c r="G1378" s="5">
        <v>1161.6493668376099</v>
      </c>
      <c r="H1378" s="10">
        <v>5</v>
      </c>
      <c r="I1378" s="2">
        <v>157.67294627998399</v>
      </c>
      <c r="J1378" t="s">
        <v>10</v>
      </c>
    </row>
    <row r="1379" spans="1:10" x14ac:dyDescent="0.25">
      <c r="A1379" t="s">
        <v>290</v>
      </c>
      <c r="B1379" s="1">
        <f t="shared" si="84"/>
        <v>45202</v>
      </c>
      <c r="C1379" s="1" t="str">
        <f t="shared" si="85"/>
        <v>Tuesday</v>
      </c>
      <c r="D1379" s="1" t="str">
        <f t="shared" si="86"/>
        <v>October</v>
      </c>
      <c r="E1379" s="1" t="str">
        <f t="shared" si="87"/>
        <v>2023</v>
      </c>
      <c r="F1379" t="s">
        <v>11</v>
      </c>
      <c r="G1379" s="5">
        <v>122.8236449268</v>
      </c>
      <c r="H1379" s="10">
        <v>6</v>
      </c>
      <c r="I1379" s="2">
        <v>199.63367102143599</v>
      </c>
      <c r="J1379" t="s">
        <v>8</v>
      </c>
    </row>
    <row r="1380" spans="1:10" x14ac:dyDescent="0.25">
      <c r="A1380" t="s">
        <v>290</v>
      </c>
      <c r="B1380" s="1">
        <f t="shared" si="84"/>
        <v>45202</v>
      </c>
      <c r="C1380" s="1" t="str">
        <f t="shared" si="85"/>
        <v>Tuesday</v>
      </c>
      <c r="D1380" s="1" t="str">
        <f t="shared" si="86"/>
        <v>October</v>
      </c>
      <c r="E1380" s="1" t="str">
        <f t="shared" si="87"/>
        <v>2023</v>
      </c>
      <c r="F1380" t="s">
        <v>13</v>
      </c>
      <c r="G1380" s="5">
        <v>124.3556953723</v>
      </c>
      <c r="H1380" s="10">
        <v>6</v>
      </c>
      <c r="I1380" s="2">
        <v>430.41320939691201</v>
      </c>
      <c r="J1380" t="s">
        <v>14</v>
      </c>
    </row>
    <row r="1381" spans="1:10" x14ac:dyDescent="0.25">
      <c r="A1381" t="s">
        <v>290</v>
      </c>
      <c r="B1381" s="1">
        <f t="shared" si="84"/>
        <v>45202</v>
      </c>
      <c r="C1381" s="1" t="str">
        <f t="shared" si="85"/>
        <v>Tuesday</v>
      </c>
      <c r="D1381" s="1" t="str">
        <f t="shared" si="86"/>
        <v>October</v>
      </c>
      <c r="E1381" s="1" t="str">
        <f t="shared" si="87"/>
        <v>2023</v>
      </c>
      <c r="F1381" t="s">
        <v>16</v>
      </c>
      <c r="G1381" s="5">
        <v>115.657812995</v>
      </c>
      <c r="H1381" s="10">
        <v>3</v>
      </c>
      <c r="I1381" s="2">
        <v>220.7786586</v>
      </c>
      <c r="J1381" t="s">
        <v>10</v>
      </c>
    </row>
    <row r="1382" spans="1:10" x14ac:dyDescent="0.25">
      <c r="A1382" t="s">
        <v>291</v>
      </c>
      <c r="B1382" s="1">
        <f t="shared" si="84"/>
        <v>45203</v>
      </c>
      <c r="C1382" s="1" t="str">
        <f t="shared" si="85"/>
        <v>Wednesday</v>
      </c>
      <c r="D1382" s="1" t="str">
        <f t="shared" si="86"/>
        <v>October</v>
      </c>
      <c r="E1382" s="1" t="str">
        <f t="shared" si="87"/>
        <v>2023</v>
      </c>
      <c r="F1382" t="s">
        <v>7</v>
      </c>
      <c r="G1382" s="5">
        <v>199.972195672</v>
      </c>
      <c r="H1382" s="10">
        <v>12</v>
      </c>
      <c r="I1382" s="2">
        <v>140.59231016340601</v>
      </c>
      <c r="J1382" t="s">
        <v>12</v>
      </c>
    </row>
    <row r="1383" spans="1:10" x14ac:dyDescent="0.25">
      <c r="A1383" t="s">
        <v>291</v>
      </c>
      <c r="B1383" s="1">
        <f t="shared" si="84"/>
        <v>45203</v>
      </c>
      <c r="C1383" s="1" t="str">
        <f t="shared" si="85"/>
        <v>Wednesday</v>
      </c>
      <c r="D1383" s="1" t="str">
        <f t="shared" si="86"/>
        <v>October</v>
      </c>
      <c r="E1383" s="1" t="str">
        <f t="shared" si="87"/>
        <v>2023</v>
      </c>
      <c r="F1383" t="s">
        <v>9</v>
      </c>
      <c r="G1383" s="5">
        <v>15.953491746999999</v>
      </c>
      <c r="H1383" s="10">
        <v>9</v>
      </c>
      <c r="I1383" s="2">
        <v>364.14744358112603</v>
      </c>
      <c r="J1383" t="s">
        <v>8</v>
      </c>
    </row>
    <row r="1384" spans="1:10" x14ac:dyDescent="0.25">
      <c r="A1384" t="s">
        <v>291</v>
      </c>
      <c r="B1384" s="1">
        <f t="shared" si="84"/>
        <v>45203</v>
      </c>
      <c r="C1384" s="1" t="str">
        <f t="shared" si="85"/>
        <v>Wednesday</v>
      </c>
      <c r="D1384" s="1" t="str">
        <f t="shared" si="86"/>
        <v>October</v>
      </c>
      <c r="E1384" s="1" t="str">
        <f t="shared" si="87"/>
        <v>2023</v>
      </c>
      <c r="F1384" t="s">
        <v>11</v>
      </c>
      <c r="G1384" s="5">
        <v>889.87887825498001</v>
      </c>
      <c r="H1384" s="10">
        <v>19</v>
      </c>
      <c r="I1384" s="2">
        <v>217.737521674622</v>
      </c>
      <c r="J1384" t="s">
        <v>10</v>
      </c>
    </row>
    <row r="1385" spans="1:10" x14ac:dyDescent="0.25">
      <c r="A1385" t="s">
        <v>291</v>
      </c>
      <c r="B1385" s="1">
        <f t="shared" si="84"/>
        <v>45203</v>
      </c>
      <c r="C1385" s="1" t="str">
        <f t="shared" si="85"/>
        <v>Wednesday</v>
      </c>
      <c r="D1385" s="1" t="str">
        <f t="shared" si="86"/>
        <v>October</v>
      </c>
      <c r="E1385" s="1" t="str">
        <f t="shared" si="87"/>
        <v>2023</v>
      </c>
      <c r="F1385" t="s">
        <v>13</v>
      </c>
      <c r="G1385" s="5">
        <v>788.55334870000002</v>
      </c>
      <c r="H1385" s="10">
        <v>4</v>
      </c>
      <c r="I1385" s="2">
        <v>120.15735842509299</v>
      </c>
      <c r="J1385" t="s">
        <v>12</v>
      </c>
    </row>
    <row r="1386" spans="1:10" x14ac:dyDescent="0.25">
      <c r="A1386" t="s">
        <v>291</v>
      </c>
      <c r="B1386" s="1">
        <f t="shared" si="84"/>
        <v>45203</v>
      </c>
      <c r="C1386" s="1" t="str">
        <f t="shared" si="85"/>
        <v>Wednesday</v>
      </c>
      <c r="D1386" s="1" t="str">
        <f t="shared" si="86"/>
        <v>October</v>
      </c>
      <c r="E1386" s="1" t="str">
        <f t="shared" si="87"/>
        <v>2023</v>
      </c>
      <c r="F1386" t="s">
        <v>16</v>
      </c>
      <c r="G1386" s="5">
        <v>1437.4758266929</v>
      </c>
      <c r="H1386" s="10">
        <v>4</v>
      </c>
      <c r="I1386" s="2">
        <v>395.00800390000001</v>
      </c>
      <c r="J1386" t="s">
        <v>10</v>
      </c>
    </row>
    <row r="1387" spans="1:10" x14ac:dyDescent="0.25">
      <c r="A1387" t="s">
        <v>292</v>
      </c>
      <c r="B1387" s="1">
        <f t="shared" si="84"/>
        <v>45204</v>
      </c>
      <c r="C1387" s="1" t="str">
        <f t="shared" si="85"/>
        <v>Thursday</v>
      </c>
      <c r="D1387" s="1" t="str">
        <f t="shared" si="86"/>
        <v>October</v>
      </c>
      <c r="E1387" s="1" t="str">
        <f t="shared" si="87"/>
        <v>2023</v>
      </c>
      <c r="F1387" t="s">
        <v>7</v>
      </c>
      <c r="G1387" s="5">
        <v>551.14253777198996</v>
      </c>
      <c r="H1387" s="10">
        <v>2</v>
      </c>
      <c r="I1387" s="2">
        <v>75.189017927423393</v>
      </c>
      <c r="J1387" t="s">
        <v>12</v>
      </c>
    </row>
    <row r="1388" spans="1:10" x14ac:dyDescent="0.25">
      <c r="A1388" t="s">
        <v>292</v>
      </c>
      <c r="B1388" s="1">
        <f t="shared" si="84"/>
        <v>45204</v>
      </c>
      <c r="C1388" s="1" t="str">
        <f t="shared" si="85"/>
        <v>Thursday</v>
      </c>
      <c r="D1388" s="1" t="str">
        <f t="shared" si="86"/>
        <v>October</v>
      </c>
      <c r="E1388" s="1" t="str">
        <f t="shared" si="87"/>
        <v>2023</v>
      </c>
      <c r="F1388" t="s">
        <v>9</v>
      </c>
      <c r="G1388" s="5">
        <v>617.65213525292995</v>
      </c>
      <c r="H1388" s="10">
        <v>19</v>
      </c>
      <c r="I1388" s="2">
        <v>152.04347444349901</v>
      </c>
      <c r="J1388" t="s">
        <v>8</v>
      </c>
    </row>
    <row r="1389" spans="1:10" x14ac:dyDescent="0.25">
      <c r="A1389" t="s">
        <v>292</v>
      </c>
      <c r="B1389" s="1">
        <f t="shared" si="84"/>
        <v>45204</v>
      </c>
      <c r="C1389" s="1" t="str">
        <f t="shared" si="85"/>
        <v>Thursday</v>
      </c>
      <c r="D1389" s="1" t="str">
        <f t="shared" si="86"/>
        <v>October</v>
      </c>
      <c r="E1389" s="1" t="str">
        <f t="shared" si="87"/>
        <v>2023</v>
      </c>
      <c r="F1389" t="s">
        <v>11</v>
      </c>
      <c r="G1389" s="5">
        <v>1113.8659138365999</v>
      </c>
      <c r="H1389" s="10">
        <v>12</v>
      </c>
      <c r="I1389" s="2">
        <v>275.053123319912</v>
      </c>
      <c r="J1389" t="s">
        <v>14</v>
      </c>
    </row>
    <row r="1390" spans="1:10" x14ac:dyDescent="0.25">
      <c r="A1390" t="s">
        <v>292</v>
      </c>
      <c r="B1390" s="1">
        <f t="shared" si="84"/>
        <v>45204</v>
      </c>
      <c r="C1390" s="1" t="str">
        <f t="shared" si="85"/>
        <v>Thursday</v>
      </c>
      <c r="D1390" s="1" t="str">
        <f t="shared" si="86"/>
        <v>October</v>
      </c>
      <c r="E1390" s="1" t="str">
        <f t="shared" si="87"/>
        <v>2023</v>
      </c>
      <c r="F1390" t="s">
        <v>13</v>
      </c>
      <c r="G1390" s="5">
        <v>793.42359260000001</v>
      </c>
      <c r="H1390" s="10">
        <v>4</v>
      </c>
      <c r="I1390" s="2">
        <v>126.366014188264</v>
      </c>
      <c r="J1390" t="s">
        <v>14</v>
      </c>
    </row>
    <row r="1391" spans="1:10" x14ac:dyDescent="0.25">
      <c r="A1391" t="s">
        <v>292</v>
      </c>
      <c r="B1391" s="1">
        <f t="shared" si="84"/>
        <v>45204</v>
      </c>
      <c r="C1391" s="1" t="str">
        <f t="shared" si="85"/>
        <v>Thursday</v>
      </c>
      <c r="D1391" s="1" t="str">
        <f t="shared" si="86"/>
        <v>October</v>
      </c>
      <c r="E1391" s="1" t="str">
        <f t="shared" si="87"/>
        <v>2023</v>
      </c>
      <c r="F1391" t="s">
        <v>16</v>
      </c>
      <c r="G1391" s="5">
        <v>874.81236795639904</v>
      </c>
      <c r="H1391" s="10">
        <v>16</v>
      </c>
      <c r="I1391" s="2">
        <v>136.23723009115099</v>
      </c>
      <c r="J1391" t="s">
        <v>8</v>
      </c>
    </row>
    <row r="1392" spans="1:10" x14ac:dyDescent="0.25">
      <c r="A1392" t="s">
        <v>293</v>
      </c>
      <c r="B1392" s="1">
        <f t="shared" si="84"/>
        <v>45205</v>
      </c>
      <c r="C1392" s="1" t="str">
        <f t="shared" si="85"/>
        <v>Friday</v>
      </c>
      <c r="D1392" s="1" t="str">
        <f t="shared" si="86"/>
        <v>October</v>
      </c>
      <c r="E1392" s="1" t="str">
        <f t="shared" si="87"/>
        <v>2023</v>
      </c>
      <c r="F1392" t="s">
        <v>7</v>
      </c>
      <c r="G1392" s="5">
        <v>142.4652337238</v>
      </c>
      <c r="H1392" s="10">
        <v>16</v>
      </c>
      <c r="I1392" s="2">
        <v>241.13789503513499</v>
      </c>
      <c r="J1392" t="s">
        <v>8</v>
      </c>
    </row>
    <row r="1393" spans="1:10" x14ac:dyDescent="0.25">
      <c r="A1393" t="s">
        <v>293</v>
      </c>
      <c r="B1393" s="1">
        <f t="shared" si="84"/>
        <v>45205</v>
      </c>
      <c r="C1393" s="1" t="str">
        <f t="shared" si="85"/>
        <v>Friday</v>
      </c>
      <c r="D1393" s="1" t="str">
        <f t="shared" si="86"/>
        <v>October</v>
      </c>
      <c r="E1393" s="1" t="str">
        <f t="shared" si="87"/>
        <v>2023</v>
      </c>
      <c r="F1393" t="s">
        <v>9</v>
      </c>
      <c r="G1393" s="5">
        <v>273.86529953899998</v>
      </c>
      <c r="H1393" s="10">
        <v>12</v>
      </c>
      <c r="I1393" s="2">
        <v>55.737054196684099</v>
      </c>
      <c r="J1393" t="s">
        <v>10</v>
      </c>
    </row>
    <row r="1394" spans="1:10" x14ac:dyDescent="0.25">
      <c r="A1394" t="s">
        <v>293</v>
      </c>
      <c r="B1394" s="1">
        <f t="shared" si="84"/>
        <v>45205</v>
      </c>
      <c r="C1394" s="1" t="str">
        <f t="shared" si="85"/>
        <v>Friday</v>
      </c>
      <c r="D1394" s="1" t="str">
        <f t="shared" si="86"/>
        <v>October</v>
      </c>
      <c r="E1394" s="1" t="str">
        <f t="shared" si="87"/>
        <v>2023</v>
      </c>
      <c r="F1394" t="s">
        <v>11</v>
      </c>
      <c r="G1394" s="5">
        <v>926.3417212178</v>
      </c>
      <c r="H1394" s="10">
        <v>9</v>
      </c>
      <c r="I1394" s="2">
        <v>183.74576585810999</v>
      </c>
      <c r="J1394" t="s">
        <v>12</v>
      </c>
    </row>
    <row r="1395" spans="1:10" x14ac:dyDescent="0.25">
      <c r="A1395" t="s">
        <v>293</v>
      </c>
      <c r="B1395" s="1">
        <f t="shared" si="84"/>
        <v>45205</v>
      </c>
      <c r="C1395" s="1" t="str">
        <f t="shared" si="85"/>
        <v>Friday</v>
      </c>
      <c r="D1395" s="1" t="str">
        <f t="shared" si="86"/>
        <v>October</v>
      </c>
      <c r="E1395" s="1" t="str">
        <f t="shared" si="87"/>
        <v>2023</v>
      </c>
      <c r="F1395" t="s">
        <v>13</v>
      </c>
      <c r="G1395" s="5">
        <v>1258.4939889164</v>
      </c>
      <c r="H1395" s="10">
        <v>6</v>
      </c>
      <c r="I1395" s="2">
        <v>139.70990595571101</v>
      </c>
      <c r="J1395" t="s">
        <v>14</v>
      </c>
    </row>
    <row r="1396" spans="1:10" x14ac:dyDescent="0.25">
      <c r="A1396" t="s">
        <v>293</v>
      </c>
      <c r="B1396" s="1">
        <f t="shared" si="84"/>
        <v>45205</v>
      </c>
      <c r="C1396" s="1" t="str">
        <f t="shared" si="85"/>
        <v>Friday</v>
      </c>
      <c r="D1396" s="1" t="str">
        <f t="shared" si="86"/>
        <v>October</v>
      </c>
      <c r="E1396" s="1" t="str">
        <f t="shared" si="87"/>
        <v>2023</v>
      </c>
      <c r="F1396" t="s">
        <v>16</v>
      </c>
      <c r="G1396" s="5">
        <v>1254.8858423521001</v>
      </c>
      <c r="H1396" s="10">
        <v>6</v>
      </c>
      <c r="I1396" s="2">
        <v>333.60445196662403</v>
      </c>
      <c r="J1396" t="s">
        <v>12</v>
      </c>
    </row>
    <row r="1397" spans="1:10" x14ac:dyDescent="0.25">
      <c r="A1397" t="s">
        <v>294</v>
      </c>
      <c r="B1397" s="1">
        <f t="shared" si="84"/>
        <v>45206</v>
      </c>
      <c r="C1397" s="1" t="str">
        <f t="shared" si="85"/>
        <v>Saturday</v>
      </c>
      <c r="D1397" s="1" t="str">
        <f t="shared" si="86"/>
        <v>October</v>
      </c>
      <c r="E1397" s="1" t="str">
        <f t="shared" si="87"/>
        <v>2023</v>
      </c>
      <c r="F1397" t="s">
        <v>7</v>
      </c>
      <c r="G1397" s="5">
        <v>866.84249490000002</v>
      </c>
      <c r="H1397" s="10">
        <v>6</v>
      </c>
      <c r="I1397" s="2">
        <v>212.81451019447101</v>
      </c>
      <c r="J1397" t="s">
        <v>12</v>
      </c>
    </row>
    <row r="1398" spans="1:10" x14ac:dyDescent="0.25">
      <c r="A1398" t="s">
        <v>294</v>
      </c>
      <c r="B1398" s="1">
        <f t="shared" si="84"/>
        <v>45206</v>
      </c>
      <c r="C1398" s="1" t="str">
        <f t="shared" si="85"/>
        <v>Saturday</v>
      </c>
      <c r="D1398" s="1" t="str">
        <f t="shared" si="86"/>
        <v>October</v>
      </c>
      <c r="E1398" s="1" t="str">
        <f t="shared" si="87"/>
        <v>2023</v>
      </c>
      <c r="F1398" t="s">
        <v>9</v>
      </c>
      <c r="G1398" s="5">
        <v>644.86721475444097</v>
      </c>
      <c r="H1398" s="10">
        <v>6</v>
      </c>
      <c r="I1398" s="2">
        <v>183.30729328979101</v>
      </c>
      <c r="J1398" t="s">
        <v>12</v>
      </c>
    </row>
    <row r="1399" spans="1:10" x14ac:dyDescent="0.25">
      <c r="A1399" t="s">
        <v>294</v>
      </c>
      <c r="B1399" s="1">
        <f t="shared" si="84"/>
        <v>45206</v>
      </c>
      <c r="C1399" s="1" t="str">
        <f t="shared" si="85"/>
        <v>Saturday</v>
      </c>
      <c r="D1399" s="1" t="str">
        <f t="shared" si="86"/>
        <v>October</v>
      </c>
      <c r="E1399" s="1" t="str">
        <f t="shared" si="87"/>
        <v>2023</v>
      </c>
      <c r="F1399" t="s">
        <v>11</v>
      </c>
      <c r="G1399" s="5">
        <v>1377.5741776299999</v>
      </c>
      <c r="H1399" s="10">
        <v>7</v>
      </c>
      <c r="I1399" s="2">
        <v>337.43446597521501</v>
      </c>
      <c r="J1399" t="s">
        <v>10</v>
      </c>
    </row>
    <row r="1400" spans="1:10" x14ac:dyDescent="0.25">
      <c r="A1400" t="s">
        <v>294</v>
      </c>
      <c r="B1400" s="1">
        <f t="shared" si="84"/>
        <v>45206</v>
      </c>
      <c r="C1400" s="1" t="str">
        <f t="shared" si="85"/>
        <v>Saturday</v>
      </c>
      <c r="D1400" s="1" t="str">
        <f t="shared" si="86"/>
        <v>October</v>
      </c>
      <c r="E1400" s="1" t="str">
        <f t="shared" si="87"/>
        <v>2023</v>
      </c>
      <c r="F1400" t="s">
        <v>13</v>
      </c>
      <c r="G1400" s="5">
        <v>121.449643569</v>
      </c>
      <c r="H1400" s="10">
        <v>12</v>
      </c>
      <c r="I1400" s="2">
        <v>208.13185679022899</v>
      </c>
      <c r="J1400" t="s">
        <v>10</v>
      </c>
    </row>
    <row r="1401" spans="1:10" x14ac:dyDescent="0.25">
      <c r="A1401" t="s">
        <v>294</v>
      </c>
      <c r="B1401" s="1">
        <f t="shared" si="84"/>
        <v>45206</v>
      </c>
      <c r="C1401" s="1" t="str">
        <f t="shared" si="85"/>
        <v>Saturday</v>
      </c>
      <c r="D1401" s="1" t="str">
        <f t="shared" si="86"/>
        <v>October</v>
      </c>
      <c r="E1401" s="1" t="str">
        <f t="shared" si="87"/>
        <v>2023</v>
      </c>
      <c r="F1401" t="s">
        <v>16</v>
      </c>
      <c r="G1401" s="5">
        <v>1238.82661186</v>
      </c>
      <c r="H1401" s="10">
        <v>10</v>
      </c>
      <c r="I1401" s="2">
        <v>311.344886236783</v>
      </c>
      <c r="J1401" t="s">
        <v>14</v>
      </c>
    </row>
    <row r="1402" spans="1:10" x14ac:dyDescent="0.25">
      <c r="A1402" t="s">
        <v>295</v>
      </c>
      <c r="B1402" s="1">
        <f t="shared" si="84"/>
        <v>45207</v>
      </c>
      <c r="C1402" s="1" t="str">
        <f t="shared" si="85"/>
        <v>Sunday</v>
      </c>
      <c r="D1402" s="1" t="str">
        <f t="shared" si="86"/>
        <v>October</v>
      </c>
      <c r="E1402" s="1" t="str">
        <f t="shared" si="87"/>
        <v>2023</v>
      </c>
      <c r="F1402" t="s">
        <v>7</v>
      </c>
      <c r="G1402" s="5">
        <v>149.38235359244001</v>
      </c>
      <c r="H1402" s="10">
        <v>11</v>
      </c>
      <c r="I1402" s="2">
        <v>354.25121573506902</v>
      </c>
      <c r="J1402" t="s">
        <v>8</v>
      </c>
    </row>
    <row r="1403" spans="1:10" x14ac:dyDescent="0.25">
      <c r="A1403" t="s">
        <v>295</v>
      </c>
      <c r="B1403" s="1">
        <f t="shared" si="84"/>
        <v>45207</v>
      </c>
      <c r="C1403" s="1" t="str">
        <f t="shared" si="85"/>
        <v>Sunday</v>
      </c>
      <c r="D1403" s="1" t="str">
        <f t="shared" si="86"/>
        <v>October</v>
      </c>
      <c r="E1403" s="1" t="str">
        <f t="shared" si="87"/>
        <v>2023</v>
      </c>
      <c r="F1403" t="s">
        <v>9</v>
      </c>
      <c r="G1403" s="5">
        <v>987.47886287560004</v>
      </c>
      <c r="H1403" s="10">
        <v>8</v>
      </c>
      <c r="I1403" s="2">
        <v>345.863712888517</v>
      </c>
      <c r="J1403" t="s">
        <v>8</v>
      </c>
    </row>
    <row r="1404" spans="1:10" x14ac:dyDescent="0.25">
      <c r="A1404" t="s">
        <v>295</v>
      </c>
      <c r="B1404" s="1">
        <f t="shared" si="84"/>
        <v>45207</v>
      </c>
      <c r="C1404" s="1" t="str">
        <f t="shared" si="85"/>
        <v>Sunday</v>
      </c>
      <c r="D1404" s="1" t="str">
        <f t="shared" si="86"/>
        <v>October</v>
      </c>
      <c r="E1404" s="1" t="str">
        <f t="shared" si="87"/>
        <v>2023</v>
      </c>
      <c r="F1404" t="s">
        <v>11</v>
      </c>
      <c r="G1404" s="5">
        <v>1113.9131572736001</v>
      </c>
      <c r="H1404" s="10">
        <v>1</v>
      </c>
      <c r="I1404" s="2">
        <v>393.43194564099201</v>
      </c>
      <c r="J1404" t="s">
        <v>12</v>
      </c>
    </row>
    <row r="1405" spans="1:10" x14ac:dyDescent="0.25">
      <c r="A1405" t="s">
        <v>295</v>
      </c>
      <c r="B1405" s="1">
        <f t="shared" si="84"/>
        <v>45207</v>
      </c>
      <c r="C1405" s="1" t="str">
        <f t="shared" si="85"/>
        <v>Sunday</v>
      </c>
      <c r="D1405" s="1" t="str">
        <f t="shared" si="86"/>
        <v>October</v>
      </c>
      <c r="E1405" s="1" t="str">
        <f t="shared" si="87"/>
        <v>2023</v>
      </c>
      <c r="F1405" t="s">
        <v>13</v>
      </c>
      <c r="G1405" s="5">
        <v>1525.1832253692801</v>
      </c>
      <c r="H1405" s="10">
        <v>15</v>
      </c>
      <c r="I1405" s="2">
        <v>345.47502559005699</v>
      </c>
      <c r="J1405" t="s">
        <v>12</v>
      </c>
    </row>
    <row r="1406" spans="1:10" x14ac:dyDescent="0.25">
      <c r="A1406" t="s">
        <v>295</v>
      </c>
      <c r="B1406" s="1">
        <f t="shared" si="84"/>
        <v>45207</v>
      </c>
      <c r="C1406" s="1" t="str">
        <f t="shared" si="85"/>
        <v>Sunday</v>
      </c>
      <c r="D1406" s="1" t="str">
        <f t="shared" si="86"/>
        <v>October</v>
      </c>
      <c r="E1406" s="1" t="str">
        <f t="shared" si="87"/>
        <v>2023</v>
      </c>
      <c r="F1406" t="s">
        <v>16</v>
      </c>
      <c r="G1406" s="5">
        <v>13.1988115475</v>
      </c>
      <c r="H1406" s="10">
        <v>18</v>
      </c>
      <c r="I1406" s="2">
        <v>259.686118182283</v>
      </c>
      <c r="J1406" t="s">
        <v>14</v>
      </c>
    </row>
    <row r="1407" spans="1:10" x14ac:dyDescent="0.25">
      <c r="A1407" t="s">
        <v>296</v>
      </c>
      <c r="B1407" s="1">
        <f t="shared" si="84"/>
        <v>45208</v>
      </c>
      <c r="C1407" s="1" t="str">
        <f t="shared" si="85"/>
        <v>Monday</v>
      </c>
      <c r="D1407" s="1" t="str">
        <f t="shared" si="86"/>
        <v>October</v>
      </c>
      <c r="E1407" s="1" t="str">
        <f t="shared" si="87"/>
        <v>2023</v>
      </c>
      <c r="F1407" t="s">
        <v>7</v>
      </c>
      <c r="G1407" s="5">
        <v>197.19533000000001</v>
      </c>
      <c r="H1407" s="10">
        <v>8</v>
      </c>
      <c r="I1407" s="2">
        <v>144.804289881285</v>
      </c>
      <c r="J1407" t="s">
        <v>14</v>
      </c>
    </row>
    <row r="1408" spans="1:10" x14ac:dyDescent="0.25">
      <c r="A1408" t="s">
        <v>296</v>
      </c>
      <c r="B1408" s="1">
        <f t="shared" si="84"/>
        <v>45208</v>
      </c>
      <c r="C1408" s="1" t="str">
        <f t="shared" si="85"/>
        <v>Monday</v>
      </c>
      <c r="D1408" s="1" t="str">
        <f t="shared" si="86"/>
        <v>October</v>
      </c>
      <c r="E1408" s="1" t="str">
        <f t="shared" si="87"/>
        <v>2023</v>
      </c>
      <c r="F1408" t="s">
        <v>9</v>
      </c>
      <c r="G1408" s="5">
        <v>849.52928717718999</v>
      </c>
      <c r="H1408" s="10">
        <v>17</v>
      </c>
      <c r="I1408" s="2">
        <v>331.03069960609798</v>
      </c>
      <c r="J1408" t="s">
        <v>12</v>
      </c>
    </row>
    <row r="1409" spans="1:10" x14ac:dyDescent="0.25">
      <c r="A1409" t="s">
        <v>296</v>
      </c>
      <c r="B1409" s="1">
        <f t="shared" si="84"/>
        <v>45208</v>
      </c>
      <c r="C1409" s="1" t="str">
        <f t="shared" si="85"/>
        <v>Monday</v>
      </c>
      <c r="D1409" s="1" t="str">
        <f t="shared" si="86"/>
        <v>October</v>
      </c>
      <c r="E1409" s="1" t="str">
        <f t="shared" si="87"/>
        <v>2023</v>
      </c>
      <c r="F1409" t="s">
        <v>11</v>
      </c>
      <c r="G1409" s="5">
        <v>576.53153444812006</v>
      </c>
      <c r="H1409" s="10">
        <v>4</v>
      </c>
      <c r="I1409" s="2">
        <v>147.00843078615199</v>
      </c>
      <c r="J1409" t="s">
        <v>8</v>
      </c>
    </row>
    <row r="1410" spans="1:10" x14ac:dyDescent="0.25">
      <c r="A1410" t="s">
        <v>296</v>
      </c>
      <c r="B1410" s="1">
        <f t="shared" si="84"/>
        <v>45208</v>
      </c>
      <c r="C1410" s="1" t="str">
        <f t="shared" si="85"/>
        <v>Monday</v>
      </c>
      <c r="D1410" s="1" t="str">
        <f t="shared" si="86"/>
        <v>October</v>
      </c>
      <c r="E1410" s="1" t="str">
        <f t="shared" si="87"/>
        <v>2023</v>
      </c>
      <c r="F1410" t="s">
        <v>13</v>
      </c>
      <c r="G1410" s="5">
        <v>68.733546899347004</v>
      </c>
      <c r="H1410" s="10">
        <v>19</v>
      </c>
      <c r="I1410" s="2">
        <v>207.99973769051999</v>
      </c>
      <c r="J1410" t="s">
        <v>12</v>
      </c>
    </row>
    <row r="1411" spans="1:10" x14ac:dyDescent="0.25">
      <c r="A1411" t="s">
        <v>296</v>
      </c>
      <c r="B1411" s="1">
        <f t="shared" ref="B1411:B1474" si="88">DATE(VALUE(RIGHT(A1411,4)),VALUE(LEFT(A1411,FIND("/",A1411)-1)),VALUE(MID(A1411,FIND("/",A1411)+1,FIND("/",A1411,FIND("/",A1411)+1)-FIND("/",A1411)-1)))</f>
        <v>45208</v>
      </c>
      <c r="C1411" s="1" t="str">
        <f t="shared" ref="C1411:C1474" si="89">TEXT(B1411,"DDDD")</f>
        <v>Monday</v>
      </c>
      <c r="D1411" s="1" t="str">
        <f t="shared" ref="D1411:D1474" si="90">TEXT(B1411,"MMMM")</f>
        <v>October</v>
      </c>
      <c r="E1411" s="1" t="str">
        <f t="shared" ref="E1411:E1474" si="91">TEXT(B1411,"YYYY")</f>
        <v>2023</v>
      </c>
      <c r="F1411" t="s">
        <v>16</v>
      </c>
      <c r="G1411" s="5">
        <v>1298.5633667432101</v>
      </c>
      <c r="H1411" s="10">
        <v>19</v>
      </c>
      <c r="I1411" s="2">
        <v>208.340436954491</v>
      </c>
      <c r="J1411" t="s">
        <v>10</v>
      </c>
    </row>
    <row r="1412" spans="1:10" x14ac:dyDescent="0.25">
      <c r="A1412" t="s">
        <v>297</v>
      </c>
      <c r="B1412" s="1">
        <f t="shared" si="88"/>
        <v>45209</v>
      </c>
      <c r="C1412" s="1" t="str">
        <f t="shared" si="89"/>
        <v>Tuesday</v>
      </c>
      <c r="D1412" s="1" t="str">
        <f t="shared" si="90"/>
        <v>October</v>
      </c>
      <c r="E1412" s="1" t="str">
        <f t="shared" si="91"/>
        <v>2023</v>
      </c>
      <c r="F1412" t="s">
        <v>7</v>
      </c>
      <c r="G1412" s="5">
        <v>71.924966649870001</v>
      </c>
      <c r="H1412" s="10">
        <v>2</v>
      </c>
      <c r="I1412" s="2">
        <v>83.083873150000002</v>
      </c>
      <c r="J1412" t="s">
        <v>14</v>
      </c>
    </row>
    <row r="1413" spans="1:10" x14ac:dyDescent="0.25">
      <c r="A1413" t="s">
        <v>297</v>
      </c>
      <c r="B1413" s="1">
        <f t="shared" si="88"/>
        <v>45209</v>
      </c>
      <c r="C1413" s="1" t="str">
        <f t="shared" si="89"/>
        <v>Tuesday</v>
      </c>
      <c r="D1413" s="1" t="str">
        <f t="shared" si="90"/>
        <v>October</v>
      </c>
      <c r="E1413" s="1" t="str">
        <f t="shared" si="91"/>
        <v>2023</v>
      </c>
      <c r="F1413" t="s">
        <v>9</v>
      </c>
      <c r="G1413" s="5">
        <v>653.54269762499996</v>
      </c>
      <c r="H1413" s="10">
        <v>18</v>
      </c>
      <c r="I1413" s="2">
        <v>244.31962757715101</v>
      </c>
      <c r="J1413" t="s">
        <v>8</v>
      </c>
    </row>
    <row r="1414" spans="1:10" x14ac:dyDescent="0.25">
      <c r="A1414" t="s">
        <v>297</v>
      </c>
      <c r="B1414" s="1">
        <f t="shared" si="88"/>
        <v>45209</v>
      </c>
      <c r="C1414" s="1" t="str">
        <f t="shared" si="89"/>
        <v>Tuesday</v>
      </c>
      <c r="D1414" s="1" t="str">
        <f t="shared" si="90"/>
        <v>October</v>
      </c>
      <c r="E1414" s="1" t="str">
        <f t="shared" si="91"/>
        <v>2023</v>
      </c>
      <c r="F1414" t="s">
        <v>11</v>
      </c>
      <c r="G1414" s="5">
        <v>68.962369811599999</v>
      </c>
      <c r="H1414" s="10">
        <v>8</v>
      </c>
      <c r="I1414" s="2">
        <v>182.32315782430601</v>
      </c>
      <c r="J1414" t="s">
        <v>12</v>
      </c>
    </row>
    <row r="1415" spans="1:10" x14ac:dyDescent="0.25">
      <c r="A1415" t="s">
        <v>297</v>
      </c>
      <c r="B1415" s="1">
        <f t="shared" si="88"/>
        <v>45209</v>
      </c>
      <c r="C1415" s="1" t="str">
        <f t="shared" si="89"/>
        <v>Tuesday</v>
      </c>
      <c r="D1415" s="1" t="str">
        <f t="shared" si="90"/>
        <v>October</v>
      </c>
      <c r="E1415" s="1" t="str">
        <f t="shared" si="91"/>
        <v>2023</v>
      </c>
      <c r="F1415" t="s">
        <v>13</v>
      </c>
      <c r="G1415" s="5">
        <v>791.65513724133405</v>
      </c>
      <c r="H1415" s="10">
        <v>12</v>
      </c>
      <c r="I1415" s="2">
        <v>294.39284008446998</v>
      </c>
      <c r="J1415" t="s">
        <v>14</v>
      </c>
    </row>
    <row r="1416" spans="1:10" x14ac:dyDescent="0.25">
      <c r="A1416" t="s">
        <v>297</v>
      </c>
      <c r="B1416" s="1">
        <f t="shared" si="88"/>
        <v>45209</v>
      </c>
      <c r="C1416" s="1" t="str">
        <f t="shared" si="89"/>
        <v>Tuesday</v>
      </c>
      <c r="D1416" s="1" t="str">
        <f t="shared" si="90"/>
        <v>October</v>
      </c>
      <c r="E1416" s="1" t="str">
        <f t="shared" si="91"/>
        <v>2023</v>
      </c>
      <c r="F1416" t="s">
        <v>16</v>
      </c>
      <c r="G1416" s="5">
        <v>968.69716213931997</v>
      </c>
      <c r="H1416" s="10">
        <v>12</v>
      </c>
      <c r="I1416" s="2">
        <v>120.03564576242201</v>
      </c>
      <c r="J1416" t="s">
        <v>8</v>
      </c>
    </row>
    <row r="1417" spans="1:10" x14ac:dyDescent="0.25">
      <c r="A1417" t="s">
        <v>298</v>
      </c>
      <c r="B1417" s="1">
        <f t="shared" si="88"/>
        <v>45210</v>
      </c>
      <c r="C1417" s="1" t="str">
        <f t="shared" si="89"/>
        <v>Wednesday</v>
      </c>
      <c r="D1417" s="1" t="str">
        <f t="shared" si="90"/>
        <v>October</v>
      </c>
      <c r="E1417" s="1" t="str">
        <f t="shared" si="91"/>
        <v>2023</v>
      </c>
      <c r="F1417" t="s">
        <v>7</v>
      </c>
      <c r="G1417" s="5">
        <v>1117.9921151589999</v>
      </c>
      <c r="H1417" s="10">
        <v>7</v>
      </c>
      <c r="I1417" s="2">
        <v>424.57987961403597</v>
      </c>
      <c r="J1417" t="s">
        <v>14</v>
      </c>
    </row>
    <row r="1418" spans="1:10" x14ac:dyDescent="0.25">
      <c r="A1418" t="s">
        <v>298</v>
      </c>
      <c r="B1418" s="1">
        <f t="shared" si="88"/>
        <v>45210</v>
      </c>
      <c r="C1418" s="1" t="str">
        <f t="shared" si="89"/>
        <v>Wednesday</v>
      </c>
      <c r="D1418" s="1" t="str">
        <f t="shared" si="90"/>
        <v>October</v>
      </c>
      <c r="E1418" s="1" t="str">
        <f t="shared" si="91"/>
        <v>2023</v>
      </c>
      <c r="F1418" t="s">
        <v>9</v>
      </c>
      <c r="G1418" s="5">
        <v>917.74674599672005</v>
      </c>
      <c r="H1418" s="10">
        <v>9</v>
      </c>
      <c r="I1418" s="2">
        <v>203.670910786348</v>
      </c>
      <c r="J1418" t="s">
        <v>8</v>
      </c>
    </row>
    <row r="1419" spans="1:10" x14ac:dyDescent="0.25">
      <c r="A1419" t="s">
        <v>298</v>
      </c>
      <c r="B1419" s="1">
        <f t="shared" si="88"/>
        <v>45210</v>
      </c>
      <c r="C1419" s="1" t="str">
        <f t="shared" si="89"/>
        <v>Wednesday</v>
      </c>
      <c r="D1419" s="1" t="str">
        <f t="shared" si="90"/>
        <v>October</v>
      </c>
      <c r="E1419" s="1" t="str">
        <f t="shared" si="91"/>
        <v>2023</v>
      </c>
      <c r="F1419" t="s">
        <v>11</v>
      </c>
      <c r="G1419" s="5">
        <v>972.72154815289696</v>
      </c>
      <c r="H1419" s="10">
        <v>13</v>
      </c>
      <c r="I1419" s="2">
        <v>286.56852081033998</v>
      </c>
      <c r="J1419" t="s">
        <v>12</v>
      </c>
    </row>
    <row r="1420" spans="1:10" x14ac:dyDescent="0.25">
      <c r="A1420" t="s">
        <v>298</v>
      </c>
      <c r="B1420" s="1">
        <f t="shared" si="88"/>
        <v>45210</v>
      </c>
      <c r="C1420" s="1" t="str">
        <f t="shared" si="89"/>
        <v>Wednesday</v>
      </c>
      <c r="D1420" s="1" t="str">
        <f t="shared" si="90"/>
        <v>October</v>
      </c>
      <c r="E1420" s="1" t="str">
        <f t="shared" si="91"/>
        <v>2023</v>
      </c>
      <c r="F1420" t="s">
        <v>13</v>
      </c>
      <c r="G1420" s="5">
        <v>77.385929449198002</v>
      </c>
      <c r="H1420" s="10">
        <v>14</v>
      </c>
      <c r="I1420" s="2">
        <v>136.46006059999999</v>
      </c>
      <c r="J1420" t="s">
        <v>12</v>
      </c>
    </row>
    <row r="1421" spans="1:10" x14ac:dyDescent="0.25">
      <c r="A1421" t="s">
        <v>298</v>
      </c>
      <c r="B1421" s="1">
        <f t="shared" si="88"/>
        <v>45210</v>
      </c>
      <c r="C1421" s="1" t="str">
        <f t="shared" si="89"/>
        <v>Wednesday</v>
      </c>
      <c r="D1421" s="1" t="str">
        <f t="shared" si="90"/>
        <v>October</v>
      </c>
      <c r="E1421" s="1" t="str">
        <f t="shared" si="91"/>
        <v>2023</v>
      </c>
      <c r="F1421" t="s">
        <v>16</v>
      </c>
      <c r="G1421" s="5">
        <v>128.81696345169999</v>
      </c>
      <c r="H1421" s="10">
        <v>7</v>
      </c>
      <c r="I1421" s="2">
        <v>420.25963153953597</v>
      </c>
      <c r="J1421" t="s">
        <v>14</v>
      </c>
    </row>
    <row r="1422" spans="1:10" x14ac:dyDescent="0.25">
      <c r="A1422" t="s">
        <v>299</v>
      </c>
      <c r="B1422" s="1">
        <f t="shared" si="88"/>
        <v>45211</v>
      </c>
      <c r="C1422" s="1" t="str">
        <f t="shared" si="89"/>
        <v>Thursday</v>
      </c>
      <c r="D1422" s="1" t="str">
        <f t="shared" si="90"/>
        <v>October</v>
      </c>
      <c r="E1422" s="1" t="str">
        <f t="shared" si="91"/>
        <v>2023</v>
      </c>
      <c r="F1422" t="s">
        <v>7</v>
      </c>
      <c r="G1422" s="5">
        <v>1272.943667367</v>
      </c>
      <c r="H1422" s="10">
        <v>4</v>
      </c>
      <c r="I1422" s="2">
        <v>416.17005700774001</v>
      </c>
      <c r="J1422" t="s">
        <v>8</v>
      </c>
    </row>
    <row r="1423" spans="1:10" x14ac:dyDescent="0.25">
      <c r="A1423" t="s">
        <v>299</v>
      </c>
      <c r="B1423" s="1">
        <f t="shared" si="88"/>
        <v>45211</v>
      </c>
      <c r="C1423" s="1" t="str">
        <f t="shared" si="89"/>
        <v>Thursday</v>
      </c>
      <c r="D1423" s="1" t="str">
        <f t="shared" si="90"/>
        <v>October</v>
      </c>
      <c r="E1423" s="1" t="str">
        <f t="shared" si="91"/>
        <v>2023</v>
      </c>
      <c r="F1423" t="s">
        <v>9</v>
      </c>
      <c r="G1423" s="5">
        <v>56.61938124812</v>
      </c>
      <c r="H1423" s="10">
        <v>4</v>
      </c>
      <c r="I1423" s="2">
        <v>94.036537793047799</v>
      </c>
      <c r="J1423" t="s">
        <v>12</v>
      </c>
    </row>
    <row r="1424" spans="1:10" x14ac:dyDescent="0.25">
      <c r="A1424" t="s">
        <v>299</v>
      </c>
      <c r="B1424" s="1">
        <f t="shared" si="88"/>
        <v>45211</v>
      </c>
      <c r="C1424" s="1" t="str">
        <f t="shared" si="89"/>
        <v>Thursday</v>
      </c>
      <c r="D1424" s="1" t="str">
        <f t="shared" si="90"/>
        <v>October</v>
      </c>
      <c r="E1424" s="1" t="str">
        <f t="shared" si="91"/>
        <v>2023</v>
      </c>
      <c r="F1424" t="s">
        <v>11</v>
      </c>
      <c r="G1424" s="5">
        <v>513.66415688314601</v>
      </c>
      <c r="H1424" s="10">
        <v>17</v>
      </c>
      <c r="I1424" s="2">
        <v>203.10092930418801</v>
      </c>
      <c r="J1424" t="s">
        <v>14</v>
      </c>
    </row>
    <row r="1425" spans="1:10" x14ac:dyDescent="0.25">
      <c r="A1425" t="s">
        <v>299</v>
      </c>
      <c r="B1425" s="1">
        <f t="shared" si="88"/>
        <v>45211</v>
      </c>
      <c r="C1425" s="1" t="str">
        <f t="shared" si="89"/>
        <v>Thursday</v>
      </c>
      <c r="D1425" s="1" t="str">
        <f t="shared" si="90"/>
        <v>October</v>
      </c>
      <c r="E1425" s="1" t="str">
        <f t="shared" si="91"/>
        <v>2023</v>
      </c>
      <c r="F1425" t="s">
        <v>13</v>
      </c>
      <c r="G1425" s="5">
        <v>92.282266978872997</v>
      </c>
      <c r="H1425" s="10">
        <v>13</v>
      </c>
      <c r="I1425" s="2">
        <v>125.512822002856</v>
      </c>
      <c r="J1425" t="s">
        <v>14</v>
      </c>
    </row>
    <row r="1426" spans="1:10" x14ac:dyDescent="0.25">
      <c r="A1426" t="s">
        <v>299</v>
      </c>
      <c r="B1426" s="1">
        <f t="shared" si="88"/>
        <v>45211</v>
      </c>
      <c r="C1426" s="1" t="str">
        <f t="shared" si="89"/>
        <v>Thursday</v>
      </c>
      <c r="D1426" s="1" t="str">
        <f t="shared" si="90"/>
        <v>October</v>
      </c>
      <c r="E1426" s="1" t="str">
        <f t="shared" si="91"/>
        <v>2023</v>
      </c>
      <c r="F1426" t="s">
        <v>16</v>
      </c>
      <c r="G1426" s="5">
        <v>1119.5331596999999</v>
      </c>
      <c r="H1426" s="10">
        <v>10</v>
      </c>
      <c r="I1426" s="2">
        <v>123.517413397448</v>
      </c>
      <c r="J1426" t="s">
        <v>14</v>
      </c>
    </row>
    <row r="1427" spans="1:10" x14ac:dyDescent="0.25">
      <c r="A1427" t="s">
        <v>300</v>
      </c>
      <c r="B1427" s="1">
        <f t="shared" si="88"/>
        <v>45212</v>
      </c>
      <c r="C1427" s="1" t="str">
        <f t="shared" si="89"/>
        <v>Friday</v>
      </c>
      <c r="D1427" s="1" t="str">
        <f t="shared" si="90"/>
        <v>October</v>
      </c>
      <c r="E1427" s="1" t="str">
        <f t="shared" si="91"/>
        <v>2023</v>
      </c>
      <c r="F1427" t="s">
        <v>7</v>
      </c>
      <c r="G1427" s="5">
        <v>1131.16932926411</v>
      </c>
      <c r="H1427" s="10">
        <v>5</v>
      </c>
      <c r="I1427" s="2">
        <v>215.53618360050299</v>
      </c>
      <c r="J1427" t="s">
        <v>8</v>
      </c>
    </row>
    <row r="1428" spans="1:10" x14ac:dyDescent="0.25">
      <c r="A1428" t="s">
        <v>300</v>
      </c>
      <c r="B1428" s="1">
        <f t="shared" si="88"/>
        <v>45212</v>
      </c>
      <c r="C1428" s="1" t="str">
        <f t="shared" si="89"/>
        <v>Friday</v>
      </c>
      <c r="D1428" s="1" t="str">
        <f t="shared" si="90"/>
        <v>October</v>
      </c>
      <c r="E1428" s="1" t="str">
        <f t="shared" si="91"/>
        <v>2023</v>
      </c>
      <c r="F1428" t="s">
        <v>9</v>
      </c>
      <c r="G1428" s="5">
        <v>123.9269586976</v>
      </c>
      <c r="H1428" s="10">
        <v>3</v>
      </c>
      <c r="I1428" s="2">
        <v>143.461071221884</v>
      </c>
      <c r="J1428" t="s">
        <v>12</v>
      </c>
    </row>
    <row r="1429" spans="1:10" x14ac:dyDescent="0.25">
      <c r="A1429" t="s">
        <v>300</v>
      </c>
      <c r="B1429" s="1">
        <f t="shared" si="88"/>
        <v>45212</v>
      </c>
      <c r="C1429" s="1" t="str">
        <f t="shared" si="89"/>
        <v>Friday</v>
      </c>
      <c r="D1429" s="1" t="str">
        <f t="shared" si="90"/>
        <v>October</v>
      </c>
      <c r="E1429" s="1" t="str">
        <f t="shared" si="91"/>
        <v>2023</v>
      </c>
      <c r="F1429" t="s">
        <v>11</v>
      </c>
      <c r="G1429" s="5">
        <v>742.23573717299996</v>
      </c>
      <c r="H1429" s="10">
        <v>2</v>
      </c>
      <c r="I1429" s="2">
        <v>241.54169736147301</v>
      </c>
      <c r="J1429" t="s">
        <v>12</v>
      </c>
    </row>
    <row r="1430" spans="1:10" x14ac:dyDescent="0.25">
      <c r="A1430" t="s">
        <v>300</v>
      </c>
      <c r="B1430" s="1">
        <f t="shared" si="88"/>
        <v>45212</v>
      </c>
      <c r="C1430" s="1" t="str">
        <f t="shared" si="89"/>
        <v>Friday</v>
      </c>
      <c r="D1430" s="1" t="str">
        <f t="shared" si="90"/>
        <v>October</v>
      </c>
      <c r="E1430" s="1" t="str">
        <f t="shared" si="91"/>
        <v>2023</v>
      </c>
      <c r="F1430" t="s">
        <v>13</v>
      </c>
      <c r="G1430" s="5">
        <v>149.94185272999999</v>
      </c>
      <c r="H1430" s="10">
        <v>11</v>
      </c>
      <c r="I1430" s="2">
        <v>537.82845543847702</v>
      </c>
      <c r="J1430" t="s">
        <v>14</v>
      </c>
    </row>
    <row r="1431" spans="1:10" x14ac:dyDescent="0.25">
      <c r="A1431" t="s">
        <v>300</v>
      </c>
      <c r="B1431" s="1">
        <f t="shared" si="88"/>
        <v>45212</v>
      </c>
      <c r="C1431" s="1" t="str">
        <f t="shared" si="89"/>
        <v>Friday</v>
      </c>
      <c r="D1431" s="1" t="str">
        <f t="shared" si="90"/>
        <v>October</v>
      </c>
      <c r="E1431" s="1" t="str">
        <f t="shared" si="91"/>
        <v>2023</v>
      </c>
      <c r="F1431" t="s">
        <v>16</v>
      </c>
      <c r="G1431" s="5">
        <v>984.44449958330995</v>
      </c>
      <c r="H1431" s="10">
        <v>1</v>
      </c>
      <c r="I1431" s="2">
        <v>161.986414084628</v>
      </c>
      <c r="J1431" t="s">
        <v>8</v>
      </c>
    </row>
    <row r="1432" spans="1:10" x14ac:dyDescent="0.25">
      <c r="A1432" t="s">
        <v>301</v>
      </c>
      <c r="B1432" s="1">
        <f t="shared" si="88"/>
        <v>45213</v>
      </c>
      <c r="C1432" s="1" t="str">
        <f t="shared" si="89"/>
        <v>Saturday</v>
      </c>
      <c r="D1432" s="1" t="str">
        <f t="shared" si="90"/>
        <v>October</v>
      </c>
      <c r="E1432" s="1" t="str">
        <f t="shared" si="91"/>
        <v>2023</v>
      </c>
      <c r="F1432" t="s">
        <v>7</v>
      </c>
      <c r="G1432" s="5">
        <v>1178.64726929177</v>
      </c>
      <c r="H1432" s="10">
        <v>6</v>
      </c>
      <c r="I1432" s="2">
        <v>227.58751733008501</v>
      </c>
      <c r="J1432" t="s">
        <v>8</v>
      </c>
    </row>
    <row r="1433" spans="1:10" x14ac:dyDescent="0.25">
      <c r="A1433" t="s">
        <v>301</v>
      </c>
      <c r="B1433" s="1">
        <f t="shared" si="88"/>
        <v>45213</v>
      </c>
      <c r="C1433" s="1" t="str">
        <f t="shared" si="89"/>
        <v>Saturday</v>
      </c>
      <c r="D1433" s="1" t="str">
        <f t="shared" si="90"/>
        <v>October</v>
      </c>
      <c r="E1433" s="1" t="str">
        <f t="shared" si="91"/>
        <v>2023</v>
      </c>
      <c r="F1433" t="s">
        <v>9</v>
      </c>
      <c r="G1433" s="5">
        <v>823.31573611320005</v>
      </c>
      <c r="H1433" s="10">
        <v>19</v>
      </c>
      <c r="I1433" s="2">
        <v>142.11874415380601</v>
      </c>
      <c r="J1433" t="s">
        <v>12</v>
      </c>
    </row>
    <row r="1434" spans="1:10" x14ac:dyDescent="0.25">
      <c r="A1434" t="s">
        <v>301</v>
      </c>
      <c r="B1434" s="1">
        <f t="shared" si="88"/>
        <v>45213</v>
      </c>
      <c r="C1434" s="1" t="str">
        <f t="shared" si="89"/>
        <v>Saturday</v>
      </c>
      <c r="D1434" s="1" t="str">
        <f t="shared" si="90"/>
        <v>October</v>
      </c>
      <c r="E1434" s="1" t="str">
        <f t="shared" si="91"/>
        <v>2023</v>
      </c>
      <c r="F1434" t="s">
        <v>11</v>
      </c>
      <c r="G1434" s="5">
        <v>145.32186772393999</v>
      </c>
      <c r="H1434" s="10">
        <v>12</v>
      </c>
      <c r="I1434" s="2">
        <v>241.29989245336699</v>
      </c>
      <c r="J1434" t="s">
        <v>8</v>
      </c>
    </row>
    <row r="1435" spans="1:10" x14ac:dyDescent="0.25">
      <c r="A1435" t="s">
        <v>301</v>
      </c>
      <c r="B1435" s="1">
        <f t="shared" si="88"/>
        <v>45213</v>
      </c>
      <c r="C1435" s="1" t="str">
        <f t="shared" si="89"/>
        <v>Saturday</v>
      </c>
      <c r="D1435" s="1" t="str">
        <f t="shared" si="90"/>
        <v>October</v>
      </c>
      <c r="E1435" s="1" t="str">
        <f t="shared" si="91"/>
        <v>2023</v>
      </c>
      <c r="F1435" t="s">
        <v>13</v>
      </c>
      <c r="G1435" s="5">
        <v>1265.85735657543</v>
      </c>
      <c r="H1435" s="10">
        <v>3</v>
      </c>
      <c r="I1435" s="2">
        <v>369.77493940220899</v>
      </c>
      <c r="J1435" t="s">
        <v>8</v>
      </c>
    </row>
    <row r="1436" spans="1:10" x14ac:dyDescent="0.25">
      <c r="A1436" t="s">
        <v>301</v>
      </c>
      <c r="B1436" s="1">
        <f t="shared" si="88"/>
        <v>45213</v>
      </c>
      <c r="C1436" s="1" t="str">
        <f t="shared" si="89"/>
        <v>Saturday</v>
      </c>
      <c r="D1436" s="1" t="str">
        <f t="shared" si="90"/>
        <v>October</v>
      </c>
      <c r="E1436" s="1" t="str">
        <f t="shared" si="91"/>
        <v>2023</v>
      </c>
      <c r="F1436" t="s">
        <v>16</v>
      </c>
      <c r="G1436" s="5">
        <v>797.12763752727199</v>
      </c>
      <c r="H1436" s="10">
        <v>9</v>
      </c>
      <c r="I1436" s="2">
        <v>221.535207641608</v>
      </c>
      <c r="J1436" t="s">
        <v>8</v>
      </c>
    </row>
    <row r="1437" spans="1:10" x14ac:dyDescent="0.25">
      <c r="A1437" t="s">
        <v>302</v>
      </c>
      <c r="B1437" s="1">
        <f t="shared" si="88"/>
        <v>45214</v>
      </c>
      <c r="C1437" s="1" t="str">
        <f t="shared" si="89"/>
        <v>Sunday</v>
      </c>
      <c r="D1437" s="1" t="str">
        <f t="shared" si="90"/>
        <v>October</v>
      </c>
      <c r="E1437" s="1" t="str">
        <f t="shared" si="91"/>
        <v>2023</v>
      </c>
      <c r="F1437" t="s">
        <v>7</v>
      </c>
      <c r="G1437" s="5">
        <v>671.69566999999995</v>
      </c>
      <c r="H1437" s="10">
        <v>9</v>
      </c>
      <c r="I1437" s="2">
        <v>94.038922080000006</v>
      </c>
      <c r="J1437" t="s">
        <v>12</v>
      </c>
    </row>
    <row r="1438" spans="1:10" x14ac:dyDescent="0.25">
      <c r="A1438" t="s">
        <v>302</v>
      </c>
      <c r="B1438" s="1">
        <f t="shared" si="88"/>
        <v>45214</v>
      </c>
      <c r="C1438" s="1" t="str">
        <f t="shared" si="89"/>
        <v>Sunday</v>
      </c>
      <c r="D1438" s="1" t="str">
        <f t="shared" si="90"/>
        <v>October</v>
      </c>
      <c r="E1438" s="1" t="str">
        <f t="shared" si="91"/>
        <v>2023</v>
      </c>
      <c r="F1438" t="s">
        <v>9</v>
      </c>
      <c r="G1438" s="5">
        <v>747.81777175916</v>
      </c>
      <c r="H1438" s="10">
        <v>12</v>
      </c>
      <c r="I1438" s="2">
        <v>126.46794416849799</v>
      </c>
      <c r="J1438" t="s">
        <v>12</v>
      </c>
    </row>
    <row r="1439" spans="1:10" x14ac:dyDescent="0.25">
      <c r="A1439" t="s">
        <v>302</v>
      </c>
      <c r="B1439" s="1">
        <f t="shared" si="88"/>
        <v>45214</v>
      </c>
      <c r="C1439" s="1" t="str">
        <f t="shared" si="89"/>
        <v>Sunday</v>
      </c>
      <c r="D1439" s="1" t="str">
        <f t="shared" si="90"/>
        <v>October</v>
      </c>
      <c r="E1439" s="1" t="str">
        <f t="shared" si="91"/>
        <v>2023</v>
      </c>
      <c r="F1439" t="s">
        <v>11</v>
      </c>
      <c r="G1439" s="5">
        <v>1224.98499119537</v>
      </c>
      <c r="H1439" s="10">
        <v>10</v>
      </c>
      <c r="I1439" s="2">
        <v>258.23447885821003</v>
      </c>
      <c r="J1439" t="s">
        <v>14</v>
      </c>
    </row>
    <row r="1440" spans="1:10" x14ac:dyDescent="0.25">
      <c r="A1440" t="s">
        <v>302</v>
      </c>
      <c r="B1440" s="1">
        <f t="shared" si="88"/>
        <v>45214</v>
      </c>
      <c r="C1440" s="1" t="str">
        <f t="shared" si="89"/>
        <v>Sunday</v>
      </c>
      <c r="D1440" s="1" t="str">
        <f t="shared" si="90"/>
        <v>October</v>
      </c>
      <c r="E1440" s="1" t="str">
        <f t="shared" si="91"/>
        <v>2023</v>
      </c>
      <c r="F1440" t="s">
        <v>13</v>
      </c>
      <c r="G1440" s="5">
        <v>652.51421919799998</v>
      </c>
      <c r="H1440" s="10">
        <v>3</v>
      </c>
      <c r="I1440" s="2">
        <v>178.24392552977599</v>
      </c>
      <c r="J1440" t="s">
        <v>12</v>
      </c>
    </row>
    <row r="1441" spans="1:10" x14ac:dyDescent="0.25">
      <c r="A1441" t="s">
        <v>302</v>
      </c>
      <c r="B1441" s="1">
        <f t="shared" si="88"/>
        <v>45214</v>
      </c>
      <c r="C1441" s="1" t="str">
        <f t="shared" si="89"/>
        <v>Sunday</v>
      </c>
      <c r="D1441" s="1" t="str">
        <f t="shared" si="90"/>
        <v>October</v>
      </c>
      <c r="E1441" s="1" t="str">
        <f t="shared" si="91"/>
        <v>2023</v>
      </c>
      <c r="F1441" t="s">
        <v>16</v>
      </c>
      <c r="G1441" s="5">
        <v>495.52687697670001</v>
      </c>
      <c r="H1441" s="10">
        <v>7</v>
      </c>
      <c r="I1441" s="2">
        <v>52.029400357836899</v>
      </c>
      <c r="J1441" t="s">
        <v>12</v>
      </c>
    </row>
    <row r="1442" spans="1:10" x14ac:dyDescent="0.25">
      <c r="A1442" t="s">
        <v>303</v>
      </c>
      <c r="B1442" s="1">
        <f t="shared" si="88"/>
        <v>45215</v>
      </c>
      <c r="C1442" s="1" t="str">
        <f t="shared" si="89"/>
        <v>Monday</v>
      </c>
      <c r="D1442" s="1" t="str">
        <f t="shared" si="90"/>
        <v>October</v>
      </c>
      <c r="E1442" s="1" t="str">
        <f t="shared" si="91"/>
        <v>2023</v>
      </c>
      <c r="F1442" t="s">
        <v>7</v>
      </c>
      <c r="G1442" s="5">
        <v>735.77377309999997</v>
      </c>
      <c r="H1442" s="10">
        <v>17</v>
      </c>
      <c r="I1442" s="2">
        <v>135.893111812207</v>
      </c>
      <c r="J1442" t="s">
        <v>14</v>
      </c>
    </row>
    <row r="1443" spans="1:10" x14ac:dyDescent="0.25">
      <c r="A1443" t="s">
        <v>303</v>
      </c>
      <c r="B1443" s="1">
        <f t="shared" si="88"/>
        <v>45215</v>
      </c>
      <c r="C1443" s="1" t="str">
        <f t="shared" si="89"/>
        <v>Monday</v>
      </c>
      <c r="D1443" s="1" t="str">
        <f t="shared" si="90"/>
        <v>October</v>
      </c>
      <c r="E1443" s="1" t="str">
        <f t="shared" si="91"/>
        <v>2023</v>
      </c>
      <c r="F1443" t="s">
        <v>9</v>
      </c>
      <c r="G1443" s="5">
        <v>1539.617555539</v>
      </c>
      <c r="H1443" s="10">
        <v>7</v>
      </c>
      <c r="I1443" s="2">
        <v>272.39514637601798</v>
      </c>
      <c r="J1443" t="s">
        <v>8</v>
      </c>
    </row>
    <row r="1444" spans="1:10" x14ac:dyDescent="0.25">
      <c r="A1444" t="s">
        <v>303</v>
      </c>
      <c r="B1444" s="1">
        <f t="shared" si="88"/>
        <v>45215</v>
      </c>
      <c r="C1444" s="1" t="str">
        <f t="shared" si="89"/>
        <v>Monday</v>
      </c>
      <c r="D1444" s="1" t="str">
        <f t="shared" si="90"/>
        <v>October</v>
      </c>
      <c r="E1444" s="1" t="str">
        <f t="shared" si="91"/>
        <v>2023</v>
      </c>
      <c r="F1444" t="s">
        <v>11</v>
      </c>
      <c r="G1444" s="5">
        <v>1321.1954868969999</v>
      </c>
      <c r="H1444" s="10">
        <v>15</v>
      </c>
      <c r="I1444" s="2">
        <v>278.06057469403902</v>
      </c>
      <c r="J1444" t="s">
        <v>14</v>
      </c>
    </row>
    <row r="1445" spans="1:10" x14ac:dyDescent="0.25">
      <c r="A1445" t="s">
        <v>303</v>
      </c>
      <c r="B1445" s="1">
        <f t="shared" si="88"/>
        <v>45215</v>
      </c>
      <c r="C1445" s="1" t="str">
        <f t="shared" si="89"/>
        <v>Monday</v>
      </c>
      <c r="D1445" s="1" t="str">
        <f t="shared" si="90"/>
        <v>October</v>
      </c>
      <c r="E1445" s="1" t="str">
        <f t="shared" si="91"/>
        <v>2023</v>
      </c>
      <c r="F1445" t="s">
        <v>13</v>
      </c>
      <c r="G1445" s="5">
        <v>1381.56772658159</v>
      </c>
      <c r="H1445" s="10">
        <v>16</v>
      </c>
      <c r="I1445" s="2">
        <v>312.539589529463</v>
      </c>
      <c r="J1445" t="s">
        <v>12</v>
      </c>
    </row>
    <row r="1446" spans="1:10" x14ac:dyDescent="0.25">
      <c r="A1446" t="s">
        <v>303</v>
      </c>
      <c r="B1446" s="1">
        <f t="shared" si="88"/>
        <v>45215</v>
      </c>
      <c r="C1446" s="1" t="str">
        <f t="shared" si="89"/>
        <v>Monday</v>
      </c>
      <c r="D1446" s="1" t="str">
        <f t="shared" si="90"/>
        <v>October</v>
      </c>
      <c r="E1446" s="1" t="str">
        <f t="shared" si="91"/>
        <v>2023</v>
      </c>
      <c r="F1446" t="s">
        <v>16</v>
      </c>
      <c r="G1446" s="5">
        <v>967.99729541673003</v>
      </c>
      <c r="H1446" s="10">
        <v>16</v>
      </c>
      <c r="I1446" s="2">
        <v>252.498818686394</v>
      </c>
      <c r="J1446" t="s">
        <v>8</v>
      </c>
    </row>
    <row r="1447" spans="1:10" x14ac:dyDescent="0.25">
      <c r="A1447" t="s">
        <v>304</v>
      </c>
      <c r="B1447" s="1">
        <f t="shared" si="88"/>
        <v>45216</v>
      </c>
      <c r="C1447" s="1" t="str">
        <f t="shared" si="89"/>
        <v>Tuesday</v>
      </c>
      <c r="D1447" s="1" t="str">
        <f t="shared" si="90"/>
        <v>October</v>
      </c>
      <c r="E1447" s="1" t="str">
        <f t="shared" si="91"/>
        <v>2023</v>
      </c>
      <c r="F1447" t="s">
        <v>7</v>
      </c>
      <c r="G1447" s="5">
        <v>1344.7778591900001</v>
      </c>
      <c r="H1447" s="10">
        <v>15</v>
      </c>
      <c r="I1447" s="2">
        <v>313.42602310000001</v>
      </c>
      <c r="J1447" t="s">
        <v>14</v>
      </c>
    </row>
    <row r="1448" spans="1:10" x14ac:dyDescent="0.25">
      <c r="A1448" t="s">
        <v>304</v>
      </c>
      <c r="B1448" s="1">
        <f t="shared" si="88"/>
        <v>45216</v>
      </c>
      <c r="C1448" s="1" t="str">
        <f t="shared" si="89"/>
        <v>Tuesday</v>
      </c>
      <c r="D1448" s="1" t="str">
        <f t="shared" si="90"/>
        <v>October</v>
      </c>
      <c r="E1448" s="1" t="str">
        <f t="shared" si="91"/>
        <v>2023</v>
      </c>
      <c r="F1448" t="s">
        <v>9</v>
      </c>
      <c r="G1448" s="5">
        <v>292.79973262156</v>
      </c>
      <c r="H1448" s="10">
        <v>4</v>
      </c>
      <c r="I1448" s="2">
        <v>95.768438142408002</v>
      </c>
      <c r="J1448" t="s">
        <v>8</v>
      </c>
    </row>
    <row r="1449" spans="1:10" x14ac:dyDescent="0.25">
      <c r="A1449" t="s">
        <v>304</v>
      </c>
      <c r="B1449" s="1">
        <f t="shared" si="88"/>
        <v>45216</v>
      </c>
      <c r="C1449" s="1" t="str">
        <f t="shared" si="89"/>
        <v>Tuesday</v>
      </c>
      <c r="D1449" s="1" t="str">
        <f t="shared" si="90"/>
        <v>October</v>
      </c>
      <c r="E1449" s="1" t="str">
        <f t="shared" si="91"/>
        <v>2023</v>
      </c>
      <c r="F1449" t="s">
        <v>11</v>
      </c>
      <c r="G1449" s="5">
        <v>845.51544811856002</v>
      </c>
      <c r="H1449" s="10">
        <v>18</v>
      </c>
      <c r="I1449" s="2">
        <v>303.44524999999999</v>
      </c>
      <c r="J1449" t="s">
        <v>10</v>
      </c>
    </row>
    <row r="1450" spans="1:10" x14ac:dyDescent="0.25">
      <c r="A1450" t="s">
        <v>304</v>
      </c>
      <c r="B1450" s="1">
        <f t="shared" si="88"/>
        <v>45216</v>
      </c>
      <c r="C1450" s="1" t="str">
        <f t="shared" si="89"/>
        <v>Tuesday</v>
      </c>
      <c r="D1450" s="1" t="str">
        <f t="shared" si="90"/>
        <v>October</v>
      </c>
      <c r="E1450" s="1" t="str">
        <f t="shared" si="91"/>
        <v>2023</v>
      </c>
      <c r="F1450" t="s">
        <v>13</v>
      </c>
      <c r="G1450" s="5">
        <v>714.741314359993</v>
      </c>
      <c r="H1450" s="10">
        <v>4</v>
      </c>
      <c r="I1450" s="2">
        <v>259.68326042906301</v>
      </c>
      <c r="J1450" t="s">
        <v>10</v>
      </c>
    </row>
    <row r="1451" spans="1:10" x14ac:dyDescent="0.25">
      <c r="A1451" t="s">
        <v>304</v>
      </c>
      <c r="B1451" s="1">
        <f t="shared" si="88"/>
        <v>45216</v>
      </c>
      <c r="C1451" s="1" t="str">
        <f t="shared" si="89"/>
        <v>Tuesday</v>
      </c>
      <c r="D1451" s="1" t="str">
        <f t="shared" si="90"/>
        <v>October</v>
      </c>
      <c r="E1451" s="1" t="str">
        <f t="shared" si="91"/>
        <v>2023</v>
      </c>
      <c r="F1451" t="s">
        <v>16</v>
      </c>
      <c r="G1451" s="5">
        <v>946.34346354756997</v>
      </c>
      <c r="H1451" s="10">
        <v>15</v>
      </c>
      <c r="I1451" s="2">
        <v>328.20220607730499</v>
      </c>
      <c r="J1451" t="s">
        <v>14</v>
      </c>
    </row>
    <row r="1452" spans="1:10" x14ac:dyDescent="0.25">
      <c r="A1452" t="s">
        <v>305</v>
      </c>
      <c r="B1452" s="1">
        <f t="shared" si="88"/>
        <v>45217</v>
      </c>
      <c r="C1452" s="1" t="str">
        <f t="shared" si="89"/>
        <v>Wednesday</v>
      </c>
      <c r="D1452" s="1" t="str">
        <f t="shared" si="90"/>
        <v>October</v>
      </c>
      <c r="E1452" s="1" t="str">
        <f t="shared" si="91"/>
        <v>2023</v>
      </c>
      <c r="F1452" t="s">
        <v>7</v>
      </c>
      <c r="G1452" s="5">
        <v>441.41495953778502</v>
      </c>
      <c r="H1452" s="10">
        <v>18</v>
      </c>
      <c r="I1452" s="2">
        <v>155.30566057752</v>
      </c>
      <c r="J1452" t="s">
        <v>10</v>
      </c>
    </row>
    <row r="1453" spans="1:10" x14ac:dyDescent="0.25">
      <c r="A1453" t="s">
        <v>305</v>
      </c>
      <c r="B1453" s="1">
        <f t="shared" si="88"/>
        <v>45217</v>
      </c>
      <c r="C1453" s="1" t="str">
        <f t="shared" si="89"/>
        <v>Wednesday</v>
      </c>
      <c r="D1453" s="1" t="str">
        <f t="shared" si="90"/>
        <v>October</v>
      </c>
      <c r="E1453" s="1" t="str">
        <f t="shared" si="91"/>
        <v>2023</v>
      </c>
      <c r="F1453" t="s">
        <v>9</v>
      </c>
      <c r="G1453" s="5">
        <v>133.69634964939999</v>
      </c>
      <c r="H1453" s="10">
        <v>13</v>
      </c>
      <c r="I1453" s="2">
        <v>163.120301277176</v>
      </c>
      <c r="J1453" t="s">
        <v>12</v>
      </c>
    </row>
    <row r="1454" spans="1:10" x14ac:dyDescent="0.25">
      <c r="A1454" t="s">
        <v>305</v>
      </c>
      <c r="B1454" s="1">
        <f t="shared" si="88"/>
        <v>45217</v>
      </c>
      <c r="C1454" s="1" t="str">
        <f t="shared" si="89"/>
        <v>Wednesday</v>
      </c>
      <c r="D1454" s="1" t="str">
        <f t="shared" si="90"/>
        <v>October</v>
      </c>
      <c r="E1454" s="1" t="str">
        <f t="shared" si="91"/>
        <v>2023</v>
      </c>
      <c r="F1454" t="s">
        <v>11</v>
      </c>
      <c r="G1454" s="5">
        <v>1548.9879926260001</v>
      </c>
      <c r="H1454" s="10">
        <v>19</v>
      </c>
      <c r="I1454" s="2">
        <v>374.06185012621302</v>
      </c>
      <c r="J1454" t="s">
        <v>10</v>
      </c>
    </row>
    <row r="1455" spans="1:10" x14ac:dyDescent="0.25">
      <c r="A1455" t="s">
        <v>305</v>
      </c>
      <c r="B1455" s="1">
        <f t="shared" si="88"/>
        <v>45217</v>
      </c>
      <c r="C1455" s="1" t="str">
        <f t="shared" si="89"/>
        <v>Wednesday</v>
      </c>
      <c r="D1455" s="1" t="str">
        <f t="shared" si="90"/>
        <v>October</v>
      </c>
      <c r="E1455" s="1" t="str">
        <f t="shared" si="91"/>
        <v>2023</v>
      </c>
      <c r="F1455" t="s">
        <v>13</v>
      </c>
      <c r="G1455" s="5">
        <v>133.61991255346999</v>
      </c>
      <c r="H1455" s="10">
        <v>12</v>
      </c>
      <c r="I1455" s="2">
        <v>126.711909618707</v>
      </c>
      <c r="J1455" t="s">
        <v>10</v>
      </c>
    </row>
    <row r="1456" spans="1:10" x14ac:dyDescent="0.25">
      <c r="A1456" t="s">
        <v>305</v>
      </c>
      <c r="B1456" s="1">
        <f t="shared" si="88"/>
        <v>45217</v>
      </c>
      <c r="C1456" s="1" t="str">
        <f t="shared" si="89"/>
        <v>Wednesday</v>
      </c>
      <c r="D1456" s="1" t="str">
        <f t="shared" si="90"/>
        <v>October</v>
      </c>
      <c r="E1456" s="1" t="str">
        <f t="shared" si="91"/>
        <v>2023</v>
      </c>
      <c r="F1456" t="s">
        <v>16</v>
      </c>
      <c r="G1456" s="5">
        <v>947.38646323392004</v>
      </c>
      <c r="H1456" s="10">
        <v>10</v>
      </c>
      <c r="I1456" s="2">
        <v>224.54876063601</v>
      </c>
      <c r="J1456" t="s">
        <v>8</v>
      </c>
    </row>
    <row r="1457" spans="1:10" x14ac:dyDescent="0.25">
      <c r="A1457" t="s">
        <v>306</v>
      </c>
      <c r="B1457" s="1">
        <f t="shared" si="88"/>
        <v>45218</v>
      </c>
      <c r="C1457" s="1" t="str">
        <f t="shared" si="89"/>
        <v>Thursday</v>
      </c>
      <c r="D1457" s="1" t="str">
        <f t="shared" si="90"/>
        <v>October</v>
      </c>
      <c r="E1457" s="1" t="str">
        <f t="shared" si="91"/>
        <v>2023</v>
      </c>
      <c r="F1457" t="s">
        <v>7</v>
      </c>
      <c r="G1457" s="5">
        <v>1147.4516941743</v>
      </c>
      <c r="H1457" s="10">
        <v>13</v>
      </c>
      <c r="I1457" s="2">
        <v>132.811237567528</v>
      </c>
      <c r="J1457" t="s">
        <v>12</v>
      </c>
    </row>
    <row r="1458" spans="1:10" x14ac:dyDescent="0.25">
      <c r="A1458" t="s">
        <v>306</v>
      </c>
      <c r="B1458" s="1">
        <f t="shared" si="88"/>
        <v>45218</v>
      </c>
      <c r="C1458" s="1" t="str">
        <f t="shared" si="89"/>
        <v>Thursday</v>
      </c>
      <c r="D1458" s="1" t="str">
        <f t="shared" si="90"/>
        <v>October</v>
      </c>
      <c r="E1458" s="1" t="str">
        <f t="shared" si="91"/>
        <v>2023</v>
      </c>
      <c r="F1458" t="s">
        <v>9</v>
      </c>
      <c r="G1458" s="5">
        <v>1544.223955462</v>
      </c>
      <c r="H1458" s="10">
        <v>19</v>
      </c>
      <c r="I1458" s="2">
        <v>395.98813737407198</v>
      </c>
      <c r="J1458" t="s">
        <v>8</v>
      </c>
    </row>
    <row r="1459" spans="1:10" x14ac:dyDescent="0.25">
      <c r="A1459" t="s">
        <v>306</v>
      </c>
      <c r="B1459" s="1">
        <f t="shared" si="88"/>
        <v>45218</v>
      </c>
      <c r="C1459" s="1" t="str">
        <f t="shared" si="89"/>
        <v>Thursday</v>
      </c>
      <c r="D1459" s="1" t="str">
        <f t="shared" si="90"/>
        <v>October</v>
      </c>
      <c r="E1459" s="1" t="str">
        <f t="shared" si="91"/>
        <v>2023</v>
      </c>
      <c r="F1459" t="s">
        <v>11</v>
      </c>
      <c r="G1459" s="5">
        <v>897.13634153272994</v>
      </c>
      <c r="H1459" s="10">
        <v>17</v>
      </c>
      <c r="I1459" s="2">
        <v>165.564269875957</v>
      </c>
      <c r="J1459" t="s">
        <v>8</v>
      </c>
    </row>
    <row r="1460" spans="1:10" x14ac:dyDescent="0.25">
      <c r="A1460" t="s">
        <v>306</v>
      </c>
      <c r="B1460" s="1">
        <f t="shared" si="88"/>
        <v>45218</v>
      </c>
      <c r="C1460" s="1" t="str">
        <f t="shared" si="89"/>
        <v>Thursday</v>
      </c>
      <c r="D1460" s="1" t="str">
        <f t="shared" si="90"/>
        <v>October</v>
      </c>
      <c r="E1460" s="1" t="str">
        <f t="shared" si="91"/>
        <v>2023</v>
      </c>
      <c r="F1460" t="s">
        <v>13</v>
      </c>
      <c r="G1460" s="5">
        <v>965.87842844679994</v>
      </c>
      <c r="H1460" s="10">
        <v>17</v>
      </c>
      <c r="I1460" s="2">
        <v>321.00552386981798</v>
      </c>
      <c r="J1460" t="s">
        <v>8</v>
      </c>
    </row>
    <row r="1461" spans="1:10" x14ac:dyDescent="0.25">
      <c r="A1461" t="s">
        <v>306</v>
      </c>
      <c r="B1461" s="1">
        <f t="shared" si="88"/>
        <v>45218</v>
      </c>
      <c r="C1461" s="1" t="str">
        <f t="shared" si="89"/>
        <v>Thursday</v>
      </c>
      <c r="D1461" s="1" t="str">
        <f t="shared" si="90"/>
        <v>October</v>
      </c>
      <c r="E1461" s="1" t="str">
        <f t="shared" si="91"/>
        <v>2023</v>
      </c>
      <c r="F1461" t="s">
        <v>16</v>
      </c>
      <c r="G1461" s="5">
        <v>121.55924933750001</v>
      </c>
      <c r="H1461" s="10">
        <v>8</v>
      </c>
      <c r="I1461" s="2">
        <v>233.43194808619299</v>
      </c>
      <c r="J1461" t="s">
        <v>10</v>
      </c>
    </row>
    <row r="1462" spans="1:10" x14ac:dyDescent="0.25">
      <c r="A1462" t="s">
        <v>307</v>
      </c>
      <c r="B1462" s="1">
        <f t="shared" si="88"/>
        <v>45219</v>
      </c>
      <c r="C1462" s="1" t="str">
        <f t="shared" si="89"/>
        <v>Friday</v>
      </c>
      <c r="D1462" s="1" t="str">
        <f t="shared" si="90"/>
        <v>October</v>
      </c>
      <c r="E1462" s="1" t="str">
        <f t="shared" si="91"/>
        <v>2023</v>
      </c>
      <c r="F1462" t="s">
        <v>7</v>
      </c>
      <c r="G1462" s="5">
        <v>1154.516387957</v>
      </c>
      <c r="H1462" s="10">
        <v>13</v>
      </c>
      <c r="I1462" s="2">
        <v>379.33594944213399</v>
      </c>
      <c r="J1462" t="s">
        <v>8</v>
      </c>
    </row>
    <row r="1463" spans="1:10" x14ac:dyDescent="0.25">
      <c r="A1463" t="s">
        <v>307</v>
      </c>
      <c r="B1463" s="1">
        <f t="shared" si="88"/>
        <v>45219</v>
      </c>
      <c r="C1463" s="1" t="str">
        <f t="shared" si="89"/>
        <v>Friday</v>
      </c>
      <c r="D1463" s="1" t="str">
        <f t="shared" si="90"/>
        <v>October</v>
      </c>
      <c r="E1463" s="1" t="str">
        <f t="shared" si="91"/>
        <v>2023</v>
      </c>
      <c r="F1463" t="s">
        <v>9</v>
      </c>
      <c r="G1463" s="5">
        <v>476.72736191821298</v>
      </c>
      <c r="H1463" s="10">
        <v>11</v>
      </c>
      <c r="I1463" s="2">
        <v>124.26506131034201</v>
      </c>
      <c r="J1463" t="s">
        <v>12</v>
      </c>
    </row>
    <row r="1464" spans="1:10" x14ac:dyDescent="0.25">
      <c r="A1464" t="s">
        <v>307</v>
      </c>
      <c r="B1464" s="1">
        <f t="shared" si="88"/>
        <v>45219</v>
      </c>
      <c r="C1464" s="1" t="str">
        <f t="shared" si="89"/>
        <v>Friday</v>
      </c>
      <c r="D1464" s="1" t="str">
        <f t="shared" si="90"/>
        <v>October</v>
      </c>
      <c r="E1464" s="1" t="str">
        <f t="shared" si="91"/>
        <v>2023</v>
      </c>
      <c r="F1464" t="s">
        <v>11</v>
      </c>
      <c r="G1464" s="5">
        <v>119.3863935415</v>
      </c>
      <c r="H1464" s="10">
        <v>1</v>
      </c>
      <c r="I1464" s="2">
        <v>342.06217646262098</v>
      </c>
      <c r="J1464" t="s">
        <v>10</v>
      </c>
    </row>
    <row r="1465" spans="1:10" x14ac:dyDescent="0.25">
      <c r="A1465" t="s">
        <v>307</v>
      </c>
      <c r="B1465" s="1">
        <f t="shared" si="88"/>
        <v>45219</v>
      </c>
      <c r="C1465" s="1" t="str">
        <f t="shared" si="89"/>
        <v>Friday</v>
      </c>
      <c r="D1465" s="1" t="str">
        <f t="shared" si="90"/>
        <v>October</v>
      </c>
      <c r="E1465" s="1" t="str">
        <f t="shared" si="91"/>
        <v>2023</v>
      </c>
      <c r="F1465" t="s">
        <v>13</v>
      </c>
      <c r="G1465" s="5">
        <v>499.85398846792998</v>
      </c>
      <c r="H1465" s="10">
        <v>16</v>
      </c>
      <c r="I1465" s="2">
        <v>194.251686474998</v>
      </c>
      <c r="J1465" t="s">
        <v>10</v>
      </c>
    </row>
    <row r="1466" spans="1:10" x14ac:dyDescent="0.25">
      <c r="A1466" t="s">
        <v>307</v>
      </c>
      <c r="B1466" s="1">
        <f t="shared" si="88"/>
        <v>45219</v>
      </c>
      <c r="C1466" s="1" t="str">
        <f t="shared" si="89"/>
        <v>Friday</v>
      </c>
      <c r="D1466" s="1" t="str">
        <f t="shared" si="90"/>
        <v>October</v>
      </c>
      <c r="E1466" s="1" t="str">
        <f t="shared" si="91"/>
        <v>2023</v>
      </c>
      <c r="F1466" t="s">
        <v>16</v>
      </c>
      <c r="G1466" s="5">
        <v>119.95548218819999</v>
      </c>
      <c r="H1466" s="10">
        <v>5</v>
      </c>
      <c r="I1466" s="2">
        <v>145.694818053419</v>
      </c>
      <c r="J1466" t="s">
        <v>12</v>
      </c>
    </row>
    <row r="1467" spans="1:10" x14ac:dyDescent="0.25">
      <c r="A1467" t="s">
        <v>308</v>
      </c>
      <c r="B1467" s="1">
        <f t="shared" si="88"/>
        <v>45220</v>
      </c>
      <c r="C1467" s="1" t="str">
        <f t="shared" si="89"/>
        <v>Saturday</v>
      </c>
      <c r="D1467" s="1" t="str">
        <f t="shared" si="90"/>
        <v>October</v>
      </c>
      <c r="E1467" s="1" t="str">
        <f t="shared" si="91"/>
        <v>2023</v>
      </c>
      <c r="F1467" t="s">
        <v>7</v>
      </c>
      <c r="G1467" s="5">
        <v>81.381772633881994</v>
      </c>
      <c r="H1467" s="10">
        <v>15</v>
      </c>
      <c r="I1467" s="2">
        <v>149.73025325836699</v>
      </c>
      <c r="J1467" t="s">
        <v>8</v>
      </c>
    </row>
    <row r="1468" spans="1:10" x14ac:dyDescent="0.25">
      <c r="A1468" t="s">
        <v>308</v>
      </c>
      <c r="B1468" s="1">
        <f t="shared" si="88"/>
        <v>45220</v>
      </c>
      <c r="C1468" s="1" t="str">
        <f t="shared" si="89"/>
        <v>Saturday</v>
      </c>
      <c r="D1468" s="1" t="str">
        <f t="shared" si="90"/>
        <v>October</v>
      </c>
      <c r="E1468" s="1" t="str">
        <f t="shared" si="91"/>
        <v>2023</v>
      </c>
      <c r="F1468" t="s">
        <v>9</v>
      </c>
      <c r="G1468" s="5">
        <v>1166.18681412468</v>
      </c>
      <c r="H1468" s="10">
        <v>13</v>
      </c>
      <c r="I1468" s="2">
        <v>135.84897608978699</v>
      </c>
      <c r="J1468" t="s">
        <v>8</v>
      </c>
    </row>
    <row r="1469" spans="1:10" x14ac:dyDescent="0.25">
      <c r="A1469" t="s">
        <v>308</v>
      </c>
      <c r="B1469" s="1">
        <f t="shared" si="88"/>
        <v>45220</v>
      </c>
      <c r="C1469" s="1" t="str">
        <f t="shared" si="89"/>
        <v>Saturday</v>
      </c>
      <c r="D1469" s="1" t="str">
        <f t="shared" si="90"/>
        <v>October</v>
      </c>
      <c r="E1469" s="1" t="str">
        <f t="shared" si="91"/>
        <v>2023</v>
      </c>
      <c r="F1469" t="s">
        <v>11</v>
      </c>
      <c r="G1469" s="5">
        <v>1257.3456524643</v>
      </c>
      <c r="H1469" s="10">
        <v>3</v>
      </c>
      <c r="I1469" s="2">
        <v>156.881088422023</v>
      </c>
      <c r="J1469" t="s">
        <v>10</v>
      </c>
    </row>
    <row r="1470" spans="1:10" x14ac:dyDescent="0.25">
      <c r="A1470" t="s">
        <v>308</v>
      </c>
      <c r="B1470" s="1">
        <f t="shared" si="88"/>
        <v>45220</v>
      </c>
      <c r="C1470" s="1" t="str">
        <f t="shared" si="89"/>
        <v>Saturday</v>
      </c>
      <c r="D1470" s="1" t="str">
        <f t="shared" si="90"/>
        <v>October</v>
      </c>
      <c r="E1470" s="1" t="str">
        <f t="shared" si="91"/>
        <v>2023</v>
      </c>
      <c r="F1470" t="s">
        <v>13</v>
      </c>
      <c r="G1470" s="5">
        <v>752.59418929620006</v>
      </c>
      <c r="H1470" s="10">
        <v>13</v>
      </c>
      <c r="I1470" s="2">
        <v>133.68838102508701</v>
      </c>
      <c r="J1470" t="s">
        <v>14</v>
      </c>
    </row>
    <row r="1471" spans="1:10" x14ac:dyDescent="0.25">
      <c r="A1471" t="s">
        <v>308</v>
      </c>
      <c r="B1471" s="1">
        <f t="shared" si="88"/>
        <v>45220</v>
      </c>
      <c r="C1471" s="1" t="str">
        <f t="shared" si="89"/>
        <v>Saturday</v>
      </c>
      <c r="D1471" s="1" t="str">
        <f t="shared" si="90"/>
        <v>October</v>
      </c>
      <c r="E1471" s="1" t="str">
        <f t="shared" si="91"/>
        <v>2023</v>
      </c>
      <c r="F1471" t="s">
        <v>16</v>
      </c>
      <c r="G1471" s="5">
        <v>14.4654985152</v>
      </c>
      <c r="H1471" s="10">
        <v>12</v>
      </c>
      <c r="I1471" s="2">
        <v>176.532017983207</v>
      </c>
      <c r="J1471" t="s">
        <v>8</v>
      </c>
    </row>
    <row r="1472" spans="1:10" x14ac:dyDescent="0.25">
      <c r="A1472" t="s">
        <v>309</v>
      </c>
      <c r="B1472" s="1">
        <f t="shared" si="88"/>
        <v>45221</v>
      </c>
      <c r="C1472" s="1" t="str">
        <f t="shared" si="89"/>
        <v>Sunday</v>
      </c>
      <c r="D1472" s="1" t="str">
        <f t="shared" si="90"/>
        <v>October</v>
      </c>
      <c r="E1472" s="1" t="str">
        <f t="shared" si="91"/>
        <v>2023</v>
      </c>
      <c r="F1472" t="s">
        <v>7</v>
      </c>
      <c r="G1472" s="5">
        <v>1547.4744789829999</v>
      </c>
      <c r="H1472" s="10">
        <v>6</v>
      </c>
      <c r="I1472" s="2">
        <v>310.12652459873198</v>
      </c>
      <c r="J1472" t="s">
        <v>8</v>
      </c>
    </row>
    <row r="1473" spans="1:10" x14ac:dyDescent="0.25">
      <c r="A1473" t="s">
        <v>309</v>
      </c>
      <c r="B1473" s="1">
        <f t="shared" si="88"/>
        <v>45221</v>
      </c>
      <c r="C1473" s="1" t="str">
        <f t="shared" si="89"/>
        <v>Sunday</v>
      </c>
      <c r="D1473" s="1" t="str">
        <f t="shared" si="90"/>
        <v>October</v>
      </c>
      <c r="E1473" s="1" t="str">
        <f t="shared" si="91"/>
        <v>2023</v>
      </c>
      <c r="F1473" t="s">
        <v>9</v>
      </c>
      <c r="G1473" s="5">
        <v>928.62977446924697</v>
      </c>
      <c r="H1473" s="10">
        <v>17</v>
      </c>
      <c r="I1473" s="2">
        <v>346.26618631861101</v>
      </c>
      <c r="J1473" t="s">
        <v>8</v>
      </c>
    </row>
    <row r="1474" spans="1:10" x14ac:dyDescent="0.25">
      <c r="A1474" t="s">
        <v>309</v>
      </c>
      <c r="B1474" s="1">
        <f t="shared" si="88"/>
        <v>45221</v>
      </c>
      <c r="C1474" s="1" t="str">
        <f t="shared" si="89"/>
        <v>Sunday</v>
      </c>
      <c r="D1474" s="1" t="str">
        <f t="shared" si="90"/>
        <v>October</v>
      </c>
      <c r="E1474" s="1" t="str">
        <f t="shared" si="91"/>
        <v>2023</v>
      </c>
      <c r="F1474" t="s">
        <v>11</v>
      </c>
      <c r="G1474" s="5">
        <v>1176.737184325</v>
      </c>
      <c r="H1474" s="10">
        <v>7</v>
      </c>
      <c r="I1474" s="2">
        <v>318.95989679724801</v>
      </c>
      <c r="J1474" t="s">
        <v>12</v>
      </c>
    </row>
    <row r="1475" spans="1:10" x14ac:dyDescent="0.25">
      <c r="A1475" t="s">
        <v>309</v>
      </c>
      <c r="B1475" s="1">
        <f t="shared" ref="B1475:B1538" si="92">DATE(VALUE(RIGHT(A1475,4)),VALUE(LEFT(A1475,FIND("/",A1475)-1)),VALUE(MID(A1475,FIND("/",A1475)+1,FIND("/",A1475,FIND("/",A1475)+1)-FIND("/",A1475)-1)))</f>
        <v>45221</v>
      </c>
      <c r="C1475" s="1" t="str">
        <f t="shared" ref="C1475:C1538" si="93">TEXT(B1475,"DDDD")</f>
        <v>Sunday</v>
      </c>
      <c r="D1475" s="1" t="str">
        <f t="shared" ref="D1475:D1538" si="94">TEXT(B1475,"MMMM")</f>
        <v>October</v>
      </c>
      <c r="E1475" s="1" t="str">
        <f t="shared" ref="E1475:E1538" si="95">TEXT(B1475,"YYYY")</f>
        <v>2023</v>
      </c>
      <c r="F1475" t="s">
        <v>13</v>
      </c>
      <c r="G1475" s="5">
        <v>15.5674938941</v>
      </c>
      <c r="H1475" s="10">
        <v>10</v>
      </c>
      <c r="I1475" s="2">
        <v>402.06418849203698</v>
      </c>
      <c r="J1475" t="s">
        <v>8</v>
      </c>
    </row>
    <row r="1476" spans="1:10" x14ac:dyDescent="0.25">
      <c r="A1476" t="s">
        <v>309</v>
      </c>
      <c r="B1476" s="1">
        <f t="shared" si="92"/>
        <v>45221</v>
      </c>
      <c r="C1476" s="1" t="str">
        <f t="shared" si="93"/>
        <v>Sunday</v>
      </c>
      <c r="D1476" s="1" t="str">
        <f t="shared" si="94"/>
        <v>October</v>
      </c>
      <c r="E1476" s="1" t="str">
        <f t="shared" si="95"/>
        <v>2023</v>
      </c>
      <c r="F1476" t="s">
        <v>16</v>
      </c>
      <c r="G1476" s="5">
        <v>1556.9942396858</v>
      </c>
      <c r="H1476" s="10">
        <v>17</v>
      </c>
      <c r="I1476" s="2">
        <v>255.25773814132299</v>
      </c>
      <c r="J1476" t="s">
        <v>12</v>
      </c>
    </row>
    <row r="1477" spans="1:10" x14ac:dyDescent="0.25">
      <c r="A1477" t="s">
        <v>310</v>
      </c>
      <c r="B1477" s="1">
        <f t="shared" si="92"/>
        <v>45222</v>
      </c>
      <c r="C1477" s="1" t="str">
        <f t="shared" si="93"/>
        <v>Monday</v>
      </c>
      <c r="D1477" s="1" t="str">
        <f t="shared" si="94"/>
        <v>October</v>
      </c>
      <c r="E1477" s="1" t="str">
        <f t="shared" si="95"/>
        <v>2023</v>
      </c>
      <c r="F1477" t="s">
        <v>7</v>
      </c>
      <c r="G1477" s="5">
        <v>855.47286719570002</v>
      </c>
      <c r="H1477" s="10">
        <v>7</v>
      </c>
      <c r="I1477" s="2">
        <v>222.41974290033301</v>
      </c>
      <c r="J1477" t="s">
        <v>14</v>
      </c>
    </row>
    <row r="1478" spans="1:10" x14ac:dyDescent="0.25">
      <c r="A1478" t="s">
        <v>310</v>
      </c>
      <c r="B1478" s="1">
        <f t="shared" si="92"/>
        <v>45222</v>
      </c>
      <c r="C1478" s="1" t="str">
        <f t="shared" si="93"/>
        <v>Monday</v>
      </c>
      <c r="D1478" s="1" t="str">
        <f t="shared" si="94"/>
        <v>October</v>
      </c>
      <c r="E1478" s="1" t="str">
        <f t="shared" si="95"/>
        <v>2023</v>
      </c>
      <c r="F1478" t="s">
        <v>9</v>
      </c>
      <c r="G1478" s="5">
        <v>844.72418426116997</v>
      </c>
      <c r="H1478" s="10">
        <v>5</v>
      </c>
      <c r="I1478" s="2">
        <v>215.024632769482</v>
      </c>
      <c r="J1478" t="s">
        <v>8</v>
      </c>
    </row>
    <row r="1479" spans="1:10" x14ac:dyDescent="0.25">
      <c r="A1479" t="s">
        <v>310</v>
      </c>
      <c r="B1479" s="1">
        <f t="shared" si="92"/>
        <v>45222</v>
      </c>
      <c r="C1479" s="1" t="str">
        <f t="shared" si="93"/>
        <v>Monday</v>
      </c>
      <c r="D1479" s="1" t="str">
        <f t="shared" si="94"/>
        <v>October</v>
      </c>
      <c r="E1479" s="1" t="str">
        <f t="shared" si="95"/>
        <v>2023</v>
      </c>
      <c r="F1479" t="s">
        <v>11</v>
      </c>
      <c r="G1479" s="5">
        <v>91.522153855270005</v>
      </c>
      <c r="H1479" s="10">
        <v>19</v>
      </c>
      <c r="I1479" s="2">
        <v>258.044251847868</v>
      </c>
      <c r="J1479" t="s">
        <v>8</v>
      </c>
    </row>
    <row r="1480" spans="1:10" x14ac:dyDescent="0.25">
      <c r="A1480" t="s">
        <v>310</v>
      </c>
      <c r="B1480" s="1">
        <f t="shared" si="92"/>
        <v>45222</v>
      </c>
      <c r="C1480" s="1" t="str">
        <f t="shared" si="93"/>
        <v>Monday</v>
      </c>
      <c r="D1480" s="1" t="str">
        <f t="shared" si="94"/>
        <v>October</v>
      </c>
      <c r="E1480" s="1" t="str">
        <f t="shared" si="95"/>
        <v>2023</v>
      </c>
      <c r="F1480" t="s">
        <v>13</v>
      </c>
      <c r="G1480" s="5">
        <v>193.36394187639999</v>
      </c>
      <c r="H1480" s="10">
        <v>17</v>
      </c>
      <c r="I1480" s="2">
        <v>403.14155576384502</v>
      </c>
      <c r="J1480" t="s">
        <v>14</v>
      </c>
    </row>
    <row r="1481" spans="1:10" x14ac:dyDescent="0.25">
      <c r="A1481" t="s">
        <v>310</v>
      </c>
      <c r="B1481" s="1">
        <f t="shared" si="92"/>
        <v>45222</v>
      </c>
      <c r="C1481" s="1" t="str">
        <f t="shared" si="93"/>
        <v>Monday</v>
      </c>
      <c r="D1481" s="1" t="str">
        <f t="shared" si="94"/>
        <v>October</v>
      </c>
      <c r="E1481" s="1" t="str">
        <f t="shared" si="95"/>
        <v>2023</v>
      </c>
      <c r="F1481" t="s">
        <v>16</v>
      </c>
      <c r="G1481" s="5">
        <v>113.56533168839999</v>
      </c>
      <c r="H1481" s="10">
        <v>9</v>
      </c>
      <c r="I1481" s="2">
        <v>369.178461773648</v>
      </c>
      <c r="J1481" t="s">
        <v>14</v>
      </c>
    </row>
    <row r="1482" spans="1:10" x14ac:dyDescent="0.25">
      <c r="A1482" t="s">
        <v>311</v>
      </c>
      <c r="B1482" s="1">
        <f t="shared" si="92"/>
        <v>45223</v>
      </c>
      <c r="C1482" s="1" t="str">
        <f t="shared" si="93"/>
        <v>Tuesday</v>
      </c>
      <c r="D1482" s="1" t="str">
        <f t="shared" si="94"/>
        <v>October</v>
      </c>
      <c r="E1482" s="1" t="str">
        <f t="shared" si="95"/>
        <v>2023</v>
      </c>
      <c r="F1482" t="s">
        <v>7</v>
      </c>
      <c r="G1482" s="5">
        <v>153.21375127434001</v>
      </c>
      <c r="H1482" s="10">
        <v>19</v>
      </c>
      <c r="I1482" s="2">
        <v>212.11142011698999</v>
      </c>
      <c r="J1482" t="s">
        <v>14</v>
      </c>
    </row>
    <row r="1483" spans="1:10" x14ac:dyDescent="0.25">
      <c r="A1483" t="s">
        <v>311</v>
      </c>
      <c r="B1483" s="1">
        <f t="shared" si="92"/>
        <v>45223</v>
      </c>
      <c r="C1483" s="1" t="str">
        <f t="shared" si="93"/>
        <v>Tuesday</v>
      </c>
      <c r="D1483" s="1" t="str">
        <f t="shared" si="94"/>
        <v>October</v>
      </c>
      <c r="E1483" s="1" t="str">
        <f t="shared" si="95"/>
        <v>2023</v>
      </c>
      <c r="F1483" t="s">
        <v>9</v>
      </c>
      <c r="G1483" s="5">
        <v>37.383334284999997</v>
      </c>
      <c r="H1483" s="10">
        <v>1</v>
      </c>
      <c r="I1483" s="2">
        <v>57.8189370307907</v>
      </c>
      <c r="J1483" t="s">
        <v>8</v>
      </c>
    </row>
    <row r="1484" spans="1:10" x14ac:dyDescent="0.25">
      <c r="A1484" t="s">
        <v>311</v>
      </c>
      <c r="B1484" s="1">
        <f t="shared" si="92"/>
        <v>45223</v>
      </c>
      <c r="C1484" s="1" t="str">
        <f t="shared" si="93"/>
        <v>Tuesday</v>
      </c>
      <c r="D1484" s="1" t="str">
        <f t="shared" si="94"/>
        <v>October</v>
      </c>
      <c r="E1484" s="1" t="str">
        <f t="shared" si="95"/>
        <v>2023</v>
      </c>
      <c r="F1484" t="s">
        <v>11</v>
      </c>
      <c r="G1484" s="5">
        <v>484.88141546738501</v>
      </c>
      <c r="H1484" s="10">
        <v>7</v>
      </c>
      <c r="I1484" s="2">
        <v>122.83411022438899</v>
      </c>
      <c r="J1484" t="s">
        <v>12</v>
      </c>
    </row>
    <row r="1485" spans="1:10" x14ac:dyDescent="0.25">
      <c r="A1485" t="s">
        <v>311</v>
      </c>
      <c r="B1485" s="1">
        <f t="shared" si="92"/>
        <v>45223</v>
      </c>
      <c r="C1485" s="1" t="str">
        <f t="shared" si="93"/>
        <v>Tuesday</v>
      </c>
      <c r="D1485" s="1" t="str">
        <f t="shared" si="94"/>
        <v>October</v>
      </c>
      <c r="E1485" s="1" t="str">
        <f t="shared" si="95"/>
        <v>2023</v>
      </c>
      <c r="F1485" t="s">
        <v>13</v>
      </c>
      <c r="G1485" s="5">
        <v>19.6996983867</v>
      </c>
      <c r="H1485" s="10">
        <v>16</v>
      </c>
      <c r="I1485" s="2">
        <v>393.87406989999999</v>
      </c>
      <c r="J1485" t="s">
        <v>10</v>
      </c>
    </row>
    <row r="1486" spans="1:10" x14ac:dyDescent="0.25">
      <c r="A1486" t="s">
        <v>311</v>
      </c>
      <c r="B1486" s="1">
        <f t="shared" si="92"/>
        <v>45223</v>
      </c>
      <c r="C1486" s="1" t="str">
        <f t="shared" si="93"/>
        <v>Tuesday</v>
      </c>
      <c r="D1486" s="1" t="str">
        <f t="shared" si="94"/>
        <v>October</v>
      </c>
      <c r="E1486" s="1" t="str">
        <f t="shared" si="95"/>
        <v>2023</v>
      </c>
      <c r="F1486" t="s">
        <v>16</v>
      </c>
      <c r="G1486" s="5">
        <v>1291.6272456269301</v>
      </c>
      <c r="H1486" s="10">
        <v>17</v>
      </c>
      <c r="I1486" s="2">
        <v>349.723497412168</v>
      </c>
      <c r="J1486" t="s">
        <v>14</v>
      </c>
    </row>
    <row r="1487" spans="1:10" x14ac:dyDescent="0.25">
      <c r="A1487" t="s">
        <v>312</v>
      </c>
      <c r="B1487" s="1">
        <f t="shared" si="92"/>
        <v>45224</v>
      </c>
      <c r="C1487" s="1" t="str">
        <f t="shared" si="93"/>
        <v>Wednesday</v>
      </c>
      <c r="D1487" s="1" t="str">
        <f t="shared" si="94"/>
        <v>October</v>
      </c>
      <c r="E1487" s="1" t="str">
        <f t="shared" si="95"/>
        <v>2023</v>
      </c>
      <c r="F1487" t="s">
        <v>7</v>
      </c>
      <c r="G1487" s="5">
        <v>1391.33245472</v>
      </c>
      <c r="H1487" s="10">
        <v>8</v>
      </c>
      <c r="I1487" s="2">
        <v>382.43828938754899</v>
      </c>
      <c r="J1487" t="s">
        <v>12</v>
      </c>
    </row>
    <row r="1488" spans="1:10" x14ac:dyDescent="0.25">
      <c r="A1488" t="s">
        <v>312</v>
      </c>
      <c r="B1488" s="1">
        <f t="shared" si="92"/>
        <v>45224</v>
      </c>
      <c r="C1488" s="1" t="str">
        <f t="shared" si="93"/>
        <v>Wednesday</v>
      </c>
      <c r="D1488" s="1" t="str">
        <f t="shared" si="94"/>
        <v>October</v>
      </c>
      <c r="E1488" s="1" t="str">
        <f t="shared" si="95"/>
        <v>2023</v>
      </c>
      <c r="F1488" t="s">
        <v>9</v>
      </c>
      <c r="G1488" s="5">
        <v>667.52585418464002</v>
      </c>
      <c r="H1488" s="10">
        <v>6</v>
      </c>
      <c r="I1488" s="2">
        <v>119.31724415131499</v>
      </c>
      <c r="J1488" t="s">
        <v>8</v>
      </c>
    </row>
    <row r="1489" spans="1:10" x14ac:dyDescent="0.25">
      <c r="A1489" t="s">
        <v>312</v>
      </c>
      <c r="B1489" s="1">
        <f t="shared" si="92"/>
        <v>45224</v>
      </c>
      <c r="C1489" s="1" t="str">
        <f t="shared" si="93"/>
        <v>Wednesday</v>
      </c>
      <c r="D1489" s="1" t="str">
        <f t="shared" si="94"/>
        <v>October</v>
      </c>
      <c r="E1489" s="1" t="str">
        <f t="shared" si="95"/>
        <v>2023</v>
      </c>
      <c r="F1489" t="s">
        <v>11</v>
      </c>
      <c r="G1489" s="5">
        <v>1478.22463958555</v>
      </c>
      <c r="H1489" s="10">
        <v>9</v>
      </c>
      <c r="I1489" s="2">
        <v>256.02642432272</v>
      </c>
      <c r="J1489" t="s">
        <v>10</v>
      </c>
    </row>
    <row r="1490" spans="1:10" x14ac:dyDescent="0.25">
      <c r="A1490" t="s">
        <v>312</v>
      </c>
      <c r="B1490" s="1">
        <f t="shared" si="92"/>
        <v>45224</v>
      </c>
      <c r="C1490" s="1" t="str">
        <f t="shared" si="93"/>
        <v>Wednesday</v>
      </c>
      <c r="D1490" s="1" t="str">
        <f t="shared" si="94"/>
        <v>October</v>
      </c>
      <c r="E1490" s="1" t="str">
        <f t="shared" si="95"/>
        <v>2023</v>
      </c>
      <c r="F1490" t="s">
        <v>13</v>
      </c>
      <c r="G1490" s="5">
        <v>1331.5553165547999</v>
      </c>
      <c r="H1490" s="10">
        <v>14</v>
      </c>
      <c r="I1490" s="2">
        <v>272.180484372016</v>
      </c>
      <c r="J1490" t="s">
        <v>14</v>
      </c>
    </row>
    <row r="1491" spans="1:10" x14ac:dyDescent="0.25">
      <c r="A1491" t="s">
        <v>312</v>
      </c>
      <c r="B1491" s="1">
        <f t="shared" si="92"/>
        <v>45224</v>
      </c>
      <c r="C1491" s="1" t="str">
        <f t="shared" si="93"/>
        <v>Wednesday</v>
      </c>
      <c r="D1491" s="1" t="str">
        <f t="shared" si="94"/>
        <v>October</v>
      </c>
      <c r="E1491" s="1" t="str">
        <f t="shared" si="95"/>
        <v>2023</v>
      </c>
      <c r="F1491" t="s">
        <v>16</v>
      </c>
      <c r="G1491" s="5">
        <v>1655.73394368135</v>
      </c>
      <c r="H1491" s="10">
        <v>7</v>
      </c>
      <c r="I1491" s="2">
        <v>645.71416092443599</v>
      </c>
      <c r="J1491" t="s">
        <v>8</v>
      </c>
    </row>
    <row r="1492" spans="1:10" x14ac:dyDescent="0.25">
      <c r="A1492" t="s">
        <v>313</v>
      </c>
      <c r="B1492" s="1">
        <f t="shared" si="92"/>
        <v>45225</v>
      </c>
      <c r="C1492" s="1" t="str">
        <f t="shared" si="93"/>
        <v>Thursday</v>
      </c>
      <c r="D1492" s="1" t="str">
        <f t="shared" si="94"/>
        <v>October</v>
      </c>
      <c r="E1492" s="1" t="str">
        <f t="shared" si="95"/>
        <v>2023</v>
      </c>
      <c r="F1492" t="s">
        <v>7</v>
      </c>
      <c r="G1492" s="5">
        <v>836.92212288292001</v>
      </c>
      <c r="H1492" s="10">
        <v>16</v>
      </c>
      <c r="I1492" s="2">
        <v>268.60342011284098</v>
      </c>
      <c r="J1492" t="s">
        <v>12</v>
      </c>
    </row>
    <row r="1493" spans="1:10" x14ac:dyDescent="0.25">
      <c r="A1493" t="s">
        <v>313</v>
      </c>
      <c r="B1493" s="1">
        <f t="shared" si="92"/>
        <v>45225</v>
      </c>
      <c r="C1493" s="1" t="str">
        <f t="shared" si="93"/>
        <v>Thursday</v>
      </c>
      <c r="D1493" s="1" t="str">
        <f t="shared" si="94"/>
        <v>October</v>
      </c>
      <c r="E1493" s="1" t="str">
        <f t="shared" si="95"/>
        <v>2023</v>
      </c>
      <c r="F1493" t="s">
        <v>9</v>
      </c>
      <c r="G1493" s="5">
        <v>771.37141451634</v>
      </c>
      <c r="H1493" s="10">
        <v>4</v>
      </c>
      <c r="I1493" s="2">
        <v>267.300038733294</v>
      </c>
      <c r="J1493" t="s">
        <v>8</v>
      </c>
    </row>
    <row r="1494" spans="1:10" x14ac:dyDescent="0.25">
      <c r="A1494" t="s">
        <v>313</v>
      </c>
      <c r="B1494" s="1">
        <f t="shared" si="92"/>
        <v>45225</v>
      </c>
      <c r="C1494" s="1" t="str">
        <f t="shared" si="93"/>
        <v>Thursday</v>
      </c>
      <c r="D1494" s="1" t="str">
        <f t="shared" si="94"/>
        <v>October</v>
      </c>
      <c r="E1494" s="1" t="str">
        <f t="shared" si="95"/>
        <v>2023</v>
      </c>
      <c r="F1494" t="s">
        <v>11</v>
      </c>
      <c r="G1494" s="5">
        <v>592.42779542275696</v>
      </c>
      <c r="H1494" s="10">
        <v>12</v>
      </c>
      <c r="I1494" s="2">
        <v>227.821721505098</v>
      </c>
      <c r="J1494" t="s">
        <v>14</v>
      </c>
    </row>
    <row r="1495" spans="1:10" x14ac:dyDescent="0.25">
      <c r="A1495" t="s">
        <v>313</v>
      </c>
      <c r="B1495" s="1">
        <f t="shared" si="92"/>
        <v>45225</v>
      </c>
      <c r="C1495" s="1" t="str">
        <f t="shared" si="93"/>
        <v>Thursday</v>
      </c>
      <c r="D1495" s="1" t="str">
        <f t="shared" si="94"/>
        <v>October</v>
      </c>
      <c r="E1495" s="1" t="str">
        <f t="shared" si="95"/>
        <v>2023</v>
      </c>
      <c r="F1495" t="s">
        <v>13</v>
      </c>
      <c r="G1495" s="5">
        <v>676.79136172450001</v>
      </c>
      <c r="H1495" s="10">
        <v>18</v>
      </c>
      <c r="I1495" s="2">
        <v>68.986411700000005</v>
      </c>
      <c r="J1495" t="s">
        <v>14</v>
      </c>
    </row>
    <row r="1496" spans="1:10" x14ac:dyDescent="0.25">
      <c r="A1496" t="s">
        <v>313</v>
      </c>
      <c r="B1496" s="1">
        <f t="shared" si="92"/>
        <v>45225</v>
      </c>
      <c r="C1496" s="1" t="str">
        <f t="shared" si="93"/>
        <v>Thursday</v>
      </c>
      <c r="D1496" s="1" t="str">
        <f t="shared" si="94"/>
        <v>October</v>
      </c>
      <c r="E1496" s="1" t="str">
        <f t="shared" si="95"/>
        <v>2023</v>
      </c>
      <c r="F1496" t="s">
        <v>16</v>
      </c>
      <c r="G1496" s="5">
        <v>979.56297244961399</v>
      </c>
      <c r="H1496" s="10">
        <v>10</v>
      </c>
      <c r="I1496" s="2">
        <v>251.50185540865201</v>
      </c>
      <c r="J1496" t="s">
        <v>14</v>
      </c>
    </row>
    <row r="1497" spans="1:10" x14ac:dyDescent="0.25">
      <c r="A1497" t="s">
        <v>314</v>
      </c>
      <c r="B1497" s="1">
        <f t="shared" si="92"/>
        <v>45226</v>
      </c>
      <c r="C1497" s="1" t="str">
        <f t="shared" si="93"/>
        <v>Friday</v>
      </c>
      <c r="D1497" s="1" t="str">
        <f t="shared" si="94"/>
        <v>October</v>
      </c>
      <c r="E1497" s="1" t="str">
        <f t="shared" si="95"/>
        <v>2023</v>
      </c>
      <c r="F1497" t="s">
        <v>7</v>
      </c>
      <c r="G1497" s="5">
        <v>119.19118925582001</v>
      </c>
      <c r="H1497" s="10">
        <v>17</v>
      </c>
      <c r="I1497" s="2">
        <v>191.313721066234</v>
      </c>
      <c r="J1497" t="s">
        <v>12</v>
      </c>
    </row>
    <row r="1498" spans="1:10" x14ac:dyDescent="0.25">
      <c r="A1498" t="s">
        <v>314</v>
      </c>
      <c r="B1498" s="1">
        <f t="shared" si="92"/>
        <v>45226</v>
      </c>
      <c r="C1498" s="1" t="str">
        <f t="shared" si="93"/>
        <v>Friday</v>
      </c>
      <c r="D1498" s="1" t="str">
        <f t="shared" si="94"/>
        <v>October</v>
      </c>
      <c r="E1498" s="1" t="str">
        <f t="shared" si="95"/>
        <v>2023</v>
      </c>
      <c r="F1498" t="s">
        <v>9</v>
      </c>
      <c r="G1498" s="5">
        <v>976.14181968753996</v>
      </c>
      <c r="H1498" s="10">
        <v>2</v>
      </c>
      <c r="I1498" s="2">
        <v>116.383840327713</v>
      </c>
      <c r="J1498" t="s">
        <v>12</v>
      </c>
    </row>
    <row r="1499" spans="1:10" x14ac:dyDescent="0.25">
      <c r="A1499" t="s">
        <v>314</v>
      </c>
      <c r="B1499" s="1">
        <f t="shared" si="92"/>
        <v>45226</v>
      </c>
      <c r="C1499" s="1" t="str">
        <f t="shared" si="93"/>
        <v>Friday</v>
      </c>
      <c r="D1499" s="1" t="str">
        <f t="shared" si="94"/>
        <v>October</v>
      </c>
      <c r="E1499" s="1" t="str">
        <f t="shared" si="95"/>
        <v>2023</v>
      </c>
      <c r="F1499" t="s">
        <v>11</v>
      </c>
      <c r="G1499" s="5">
        <v>281.89475447976099</v>
      </c>
      <c r="H1499" s="10">
        <v>13</v>
      </c>
      <c r="I1499" s="2">
        <v>90.7346917592089</v>
      </c>
      <c r="J1499" t="s">
        <v>12</v>
      </c>
    </row>
    <row r="1500" spans="1:10" x14ac:dyDescent="0.25">
      <c r="A1500" t="s">
        <v>314</v>
      </c>
      <c r="B1500" s="1">
        <f t="shared" si="92"/>
        <v>45226</v>
      </c>
      <c r="C1500" s="1" t="str">
        <f t="shared" si="93"/>
        <v>Friday</v>
      </c>
      <c r="D1500" s="1" t="str">
        <f t="shared" si="94"/>
        <v>October</v>
      </c>
      <c r="E1500" s="1" t="str">
        <f t="shared" si="95"/>
        <v>2023</v>
      </c>
      <c r="F1500" t="s">
        <v>13</v>
      </c>
      <c r="G1500" s="5">
        <v>1481.9642158864999</v>
      </c>
      <c r="H1500" s="10">
        <v>6</v>
      </c>
      <c r="I1500" s="2">
        <v>523.34656224254695</v>
      </c>
      <c r="J1500" t="s">
        <v>12</v>
      </c>
    </row>
    <row r="1501" spans="1:10" x14ac:dyDescent="0.25">
      <c r="A1501" t="s">
        <v>314</v>
      </c>
      <c r="B1501" s="1">
        <f t="shared" si="92"/>
        <v>45226</v>
      </c>
      <c r="C1501" s="1" t="str">
        <f t="shared" si="93"/>
        <v>Friday</v>
      </c>
      <c r="D1501" s="1" t="str">
        <f t="shared" si="94"/>
        <v>October</v>
      </c>
      <c r="E1501" s="1" t="str">
        <f t="shared" si="95"/>
        <v>2023</v>
      </c>
      <c r="F1501" t="s">
        <v>16</v>
      </c>
      <c r="G1501" s="5">
        <v>73.729994499889003</v>
      </c>
      <c r="H1501" s="10">
        <v>3</v>
      </c>
      <c r="I1501" s="2">
        <v>278.66223194947099</v>
      </c>
      <c r="J1501" t="s">
        <v>12</v>
      </c>
    </row>
    <row r="1502" spans="1:10" x14ac:dyDescent="0.25">
      <c r="A1502" t="s">
        <v>315</v>
      </c>
      <c r="B1502" s="1">
        <f t="shared" si="92"/>
        <v>45227</v>
      </c>
      <c r="C1502" s="1" t="str">
        <f t="shared" si="93"/>
        <v>Saturday</v>
      </c>
      <c r="D1502" s="1" t="str">
        <f t="shared" si="94"/>
        <v>October</v>
      </c>
      <c r="E1502" s="1" t="str">
        <f t="shared" si="95"/>
        <v>2023</v>
      </c>
      <c r="F1502" t="s">
        <v>7</v>
      </c>
      <c r="G1502" s="5">
        <v>83.467143558000004</v>
      </c>
      <c r="H1502" s="10">
        <v>7</v>
      </c>
      <c r="I1502" s="2">
        <v>146.250432169139</v>
      </c>
      <c r="J1502" t="s">
        <v>12</v>
      </c>
    </row>
    <row r="1503" spans="1:10" x14ac:dyDescent="0.25">
      <c r="A1503" t="s">
        <v>315</v>
      </c>
      <c r="B1503" s="1">
        <f t="shared" si="92"/>
        <v>45227</v>
      </c>
      <c r="C1503" s="1" t="str">
        <f t="shared" si="93"/>
        <v>Saturday</v>
      </c>
      <c r="D1503" s="1" t="str">
        <f t="shared" si="94"/>
        <v>October</v>
      </c>
      <c r="E1503" s="1" t="str">
        <f t="shared" si="95"/>
        <v>2023</v>
      </c>
      <c r="F1503" t="s">
        <v>9</v>
      </c>
      <c r="G1503" s="5">
        <v>663.94496839383805</v>
      </c>
      <c r="H1503" s="10">
        <v>4</v>
      </c>
      <c r="I1503" s="2">
        <v>84.234570194540197</v>
      </c>
      <c r="J1503" t="s">
        <v>14</v>
      </c>
    </row>
    <row r="1504" spans="1:10" x14ac:dyDescent="0.25">
      <c r="A1504" t="s">
        <v>315</v>
      </c>
      <c r="B1504" s="1">
        <f t="shared" si="92"/>
        <v>45227</v>
      </c>
      <c r="C1504" s="1" t="str">
        <f t="shared" si="93"/>
        <v>Saturday</v>
      </c>
      <c r="D1504" s="1" t="str">
        <f t="shared" si="94"/>
        <v>October</v>
      </c>
      <c r="E1504" s="1" t="str">
        <f t="shared" si="95"/>
        <v>2023</v>
      </c>
      <c r="F1504" t="s">
        <v>11</v>
      </c>
      <c r="G1504" s="5">
        <v>776.42954887871997</v>
      </c>
      <c r="H1504" s="10">
        <v>5</v>
      </c>
      <c r="I1504" s="2">
        <v>245.90499555142699</v>
      </c>
      <c r="J1504" t="s">
        <v>8</v>
      </c>
    </row>
    <row r="1505" spans="1:10" x14ac:dyDescent="0.25">
      <c r="A1505" t="s">
        <v>315</v>
      </c>
      <c r="B1505" s="1">
        <f t="shared" si="92"/>
        <v>45227</v>
      </c>
      <c r="C1505" s="1" t="str">
        <f t="shared" si="93"/>
        <v>Saturday</v>
      </c>
      <c r="D1505" s="1" t="str">
        <f t="shared" si="94"/>
        <v>October</v>
      </c>
      <c r="E1505" s="1" t="str">
        <f t="shared" si="95"/>
        <v>2023</v>
      </c>
      <c r="F1505" t="s">
        <v>13</v>
      </c>
      <c r="G1505" s="5">
        <v>796.83171988499998</v>
      </c>
      <c r="H1505" s="10">
        <v>13</v>
      </c>
      <c r="I1505" s="2">
        <v>167.179723427477</v>
      </c>
      <c r="J1505" t="s">
        <v>14</v>
      </c>
    </row>
    <row r="1506" spans="1:10" x14ac:dyDescent="0.25">
      <c r="A1506" t="s">
        <v>315</v>
      </c>
      <c r="B1506" s="1">
        <f t="shared" si="92"/>
        <v>45227</v>
      </c>
      <c r="C1506" s="1" t="str">
        <f t="shared" si="93"/>
        <v>Saturday</v>
      </c>
      <c r="D1506" s="1" t="str">
        <f t="shared" si="94"/>
        <v>October</v>
      </c>
      <c r="E1506" s="1" t="str">
        <f t="shared" si="95"/>
        <v>2023</v>
      </c>
      <c r="F1506" t="s">
        <v>16</v>
      </c>
      <c r="G1506" s="5">
        <v>569.94228313451003</v>
      </c>
      <c r="H1506" s="10">
        <v>5</v>
      </c>
      <c r="I1506" s="2">
        <v>68.627421943681696</v>
      </c>
      <c r="J1506" t="s">
        <v>12</v>
      </c>
    </row>
    <row r="1507" spans="1:10" x14ac:dyDescent="0.25">
      <c r="A1507" t="s">
        <v>316</v>
      </c>
      <c r="B1507" s="1">
        <f t="shared" si="92"/>
        <v>45228</v>
      </c>
      <c r="C1507" s="1" t="str">
        <f t="shared" si="93"/>
        <v>Sunday</v>
      </c>
      <c r="D1507" s="1" t="str">
        <f t="shared" si="94"/>
        <v>October</v>
      </c>
      <c r="E1507" s="1" t="str">
        <f t="shared" si="95"/>
        <v>2023</v>
      </c>
      <c r="F1507" t="s">
        <v>7</v>
      </c>
      <c r="G1507" s="5">
        <v>368.4666436</v>
      </c>
      <c r="H1507" s="10">
        <v>3</v>
      </c>
      <c r="I1507" s="2">
        <v>66.338132004805999</v>
      </c>
      <c r="J1507" t="s">
        <v>14</v>
      </c>
    </row>
    <row r="1508" spans="1:10" x14ac:dyDescent="0.25">
      <c r="A1508" t="s">
        <v>316</v>
      </c>
      <c r="B1508" s="1">
        <f t="shared" si="92"/>
        <v>45228</v>
      </c>
      <c r="C1508" s="1" t="str">
        <f t="shared" si="93"/>
        <v>Sunday</v>
      </c>
      <c r="D1508" s="1" t="str">
        <f t="shared" si="94"/>
        <v>October</v>
      </c>
      <c r="E1508" s="1" t="str">
        <f t="shared" si="95"/>
        <v>2023</v>
      </c>
      <c r="F1508" t="s">
        <v>9</v>
      </c>
      <c r="G1508" s="5">
        <v>743.48157676100004</v>
      </c>
      <c r="H1508" s="10">
        <v>14</v>
      </c>
      <c r="I1508" s="2">
        <v>262.62190498073898</v>
      </c>
      <c r="J1508" t="s">
        <v>10</v>
      </c>
    </row>
    <row r="1509" spans="1:10" x14ac:dyDescent="0.25">
      <c r="A1509" t="s">
        <v>316</v>
      </c>
      <c r="B1509" s="1">
        <f t="shared" si="92"/>
        <v>45228</v>
      </c>
      <c r="C1509" s="1" t="str">
        <f t="shared" si="93"/>
        <v>Sunday</v>
      </c>
      <c r="D1509" s="1" t="str">
        <f t="shared" si="94"/>
        <v>October</v>
      </c>
      <c r="E1509" s="1" t="str">
        <f t="shared" si="95"/>
        <v>2023</v>
      </c>
      <c r="F1509" t="s">
        <v>11</v>
      </c>
      <c r="G1509" s="5">
        <v>957.36656165935995</v>
      </c>
      <c r="H1509" s="10">
        <v>6</v>
      </c>
      <c r="I1509" s="2">
        <v>293.11721029931101</v>
      </c>
      <c r="J1509" t="s">
        <v>14</v>
      </c>
    </row>
    <row r="1510" spans="1:10" x14ac:dyDescent="0.25">
      <c r="A1510" t="s">
        <v>316</v>
      </c>
      <c r="B1510" s="1">
        <f t="shared" si="92"/>
        <v>45228</v>
      </c>
      <c r="C1510" s="1" t="str">
        <f t="shared" si="93"/>
        <v>Sunday</v>
      </c>
      <c r="D1510" s="1" t="str">
        <f t="shared" si="94"/>
        <v>October</v>
      </c>
      <c r="E1510" s="1" t="str">
        <f t="shared" si="95"/>
        <v>2023</v>
      </c>
      <c r="F1510" t="s">
        <v>13</v>
      </c>
      <c r="G1510" s="5">
        <v>1193.8723934730999</v>
      </c>
      <c r="H1510" s="10">
        <v>2</v>
      </c>
      <c r="I1510" s="2">
        <v>122.906870696338</v>
      </c>
      <c r="J1510" t="s">
        <v>14</v>
      </c>
    </row>
    <row r="1511" spans="1:10" x14ac:dyDescent="0.25">
      <c r="A1511" t="s">
        <v>316</v>
      </c>
      <c r="B1511" s="1">
        <f t="shared" si="92"/>
        <v>45228</v>
      </c>
      <c r="C1511" s="1" t="str">
        <f t="shared" si="93"/>
        <v>Sunday</v>
      </c>
      <c r="D1511" s="1" t="str">
        <f t="shared" si="94"/>
        <v>October</v>
      </c>
      <c r="E1511" s="1" t="str">
        <f t="shared" si="95"/>
        <v>2023</v>
      </c>
      <c r="F1511" t="s">
        <v>16</v>
      </c>
      <c r="G1511" s="5">
        <v>617.52564815338997</v>
      </c>
      <c r="H1511" s="10">
        <v>2</v>
      </c>
      <c r="I1511" s="2">
        <v>122.768019558844</v>
      </c>
      <c r="J1511" t="s">
        <v>10</v>
      </c>
    </row>
    <row r="1512" spans="1:10" x14ac:dyDescent="0.25">
      <c r="A1512" t="s">
        <v>317</v>
      </c>
      <c r="B1512" s="1">
        <f t="shared" si="92"/>
        <v>45229</v>
      </c>
      <c r="C1512" s="1" t="str">
        <f t="shared" si="93"/>
        <v>Monday</v>
      </c>
      <c r="D1512" s="1" t="str">
        <f t="shared" si="94"/>
        <v>October</v>
      </c>
      <c r="E1512" s="1" t="str">
        <f t="shared" si="95"/>
        <v>2023</v>
      </c>
      <c r="F1512" t="s">
        <v>7</v>
      </c>
      <c r="G1512" s="5">
        <v>95.497791599699994</v>
      </c>
      <c r="H1512" s="10">
        <v>11</v>
      </c>
      <c r="I1512" s="2">
        <v>326.48468459999998</v>
      </c>
      <c r="J1512" t="s">
        <v>10</v>
      </c>
    </row>
    <row r="1513" spans="1:10" x14ac:dyDescent="0.25">
      <c r="A1513" t="s">
        <v>317</v>
      </c>
      <c r="B1513" s="1">
        <f t="shared" si="92"/>
        <v>45229</v>
      </c>
      <c r="C1513" s="1" t="str">
        <f t="shared" si="93"/>
        <v>Monday</v>
      </c>
      <c r="D1513" s="1" t="str">
        <f t="shared" si="94"/>
        <v>October</v>
      </c>
      <c r="E1513" s="1" t="str">
        <f t="shared" si="95"/>
        <v>2023</v>
      </c>
      <c r="F1513" t="s">
        <v>9</v>
      </c>
      <c r="G1513" s="5">
        <v>1324.8555951000001</v>
      </c>
      <c r="H1513" s="10">
        <v>12</v>
      </c>
      <c r="I1513" s="2">
        <v>421.42785143034598</v>
      </c>
      <c r="J1513" t="s">
        <v>14</v>
      </c>
    </row>
    <row r="1514" spans="1:10" x14ac:dyDescent="0.25">
      <c r="A1514" t="s">
        <v>317</v>
      </c>
      <c r="B1514" s="1">
        <f t="shared" si="92"/>
        <v>45229</v>
      </c>
      <c r="C1514" s="1" t="str">
        <f t="shared" si="93"/>
        <v>Monday</v>
      </c>
      <c r="D1514" s="1" t="str">
        <f t="shared" si="94"/>
        <v>October</v>
      </c>
      <c r="E1514" s="1" t="str">
        <f t="shared" si="95"/>
        <v>2023</v>
      </c>
      <c r="F1514" t="s">
        <v>11</v>
      </c>
      <c r="G1514" s="5">
        <v>148.26531489753</v>
      </c>
      <c r="H1514" s="10">
        <v>13</v>
      </c>
      <c r="I1514" s="2">
        <v>392.60632235722301</v>
      </c>
      <c r="J1514" t="s">
        <v>8</v>
      </c>
    </row>
    <row r="1515" spans="1:10" x14ac:dyDescent="0.25">
      <c r="A1515" t="s">
        <v>317</v>
      </c>
      <c r="B1515" s="1">
        <f t="shared" si="92"/>
        <v>45229</v>
      </c>
      <c r="C1515" s="1" t="str">
        <f t="shared" si="93"/>
        <v>Monday</v>
      </c>
      <c r="D1515" s="1" t="str">
        <f t="shared" si="94"/>
        <v>October</v>
      </c>
      <c r="E1515" s="1" t="str">
        <f t="shared" si="95"/>
        <v>2023</v>
      </c>
      <c r="F1515" t="s">
        <v>13</v>
      </c>
      <c r="G1515" s="5">
        <v>723.222199951741</v>
      </c>
      <c r="H1515" s="10">
        <v>8</v>
      </c>
      <c r="I1515" s="2">
        <v>165.880518646925</v>
      </c>
      <c r="J1515" t="s">
        <v>14</v>
      </c>
    </row>
    <row r="1516" spans="1:10" x14ac:dyDescent="0.25">
      <c r="A1516" t="s">
        <v>317</v>
      </c>
      <c r="B1516" s="1">
        <f t="shared" si="92"/>
        <v>45229</v>
      </c>
      <c r="C1516" s="1" t="str">
        <f t="shared" si="93"/>
        <v>Monday</v>
      </c>
      <c r="D1516" s="1" t="str">
        <f t="shared" si="94"/>
        <v>October</v>
      </c>
      <c r="E1516" s="1" t="str">
        <f t="shared" si="95"/>
        <v>2023</v>
      </c>
      <c r="F1516" t="s">
        <v>16</v>
      </c>
      <c r="G1516" s="5">
        <v>939.85761725263603</v>
      </c>
      <c r="H1516" s="10">
        <v>5</v>
      </c>
      <c r="I1516" s="2">
        <v>240.118504732319</v>
      </c>
      <c r="J1516" t="s">
        <v>12</v>
      </c>
    </row>
    <row r="1517" spans="1:10" x14ac:dyDescent="0.25">
      <c r="A1517" t="s">
        <v>318</v>
      </c>
      <c r="B1517" s="1">
        <f t="shared" si="92"/>
        <v>45230</v>
      </c>
      <c r="C1517" s="1" t="str">
        <f t="shared" si="93"/>
        <v>Tuesday</v>
      </c>
      <c r="D1517" s="1" t="str">
        <f t="shared" si="94"/>
        <v>October</v>
      </c>
      <c r="E1517" s="1" t="str">
        <f t="shared" si="95"/>
        <v>2023</v>
      </c>
      <c r="F1517" t="s">
        <v>7</v>
      </c>
      <c r="G1517" s="5">
        <v>469.89689499999997</v>
      </c>
      <c r="H1517" s="10">
        <v>7</v>
      </c>
      <c r="I1517" s="2">
        <v>71.540395514655003</v>
      </c>
      <c r="J1517" t="s">
        <v>12</v>
      </c>
    </row>
    <row r="1518" spans="1:10" x14ac:dyDescent="0.25">
      <c r="A1518" t="s">
        <v>318</v>
      </c>
      <c r="B1518" s="1">
        <f t="shared" si="92"/>
        <v>45230</v>
      </c>
      <c r="C1518" s="1" t="str">
        <f t="shared" si="93"/>
        <v>Tuesday</v>
      </c>
      <c r="D1518" s="1" t="str">
        <f t="shared" si="94"/>
        <v>October</v>
      </c>
      <c r="E1518" s="1" t="str">
        <f t="shared" si="95"/>
        <v>2023</v>
      </c>
      <c r="F1518" t="s">
        <v>9</v>
      </c>
      <c r="G1518" s="5">
        <v>197.27763881550001</v>
      </c>
      <c r="H1518" s="10">
        <v>8</v>
      </c>
      <c r="I1518" s="2">
        <v>118.642420603991</v>
      </c>
      <c r="J1518" t="s">
        <v>8</v>
      </c>
    </row>
    <row r="1519" spans="1:10" x14ac:dyDescent="0.25">
      <c r="A1519" t="s">
        <v>318</v>
      </c>
      <c r="B1519" s="1">
        <f t="shared" si="92"/>
        <v>45230</v>
      </c>
      <c r="C1519" s="1" t="str">
        <f t="shared" si="93"/>
        <v>Tuesday</v>
      </c>
      <c r="D1519" s="1" t="str">
        <f t="shared" si="94"/>
        <v>October</v>
      </c>
      <c r="E1519" s="1" t="str">
        <f t="shared" si="95"/>
        <v>2023</v>
      </c>
      <c r="F1519" t="s">
        <v>11</v>
      </c>
      <c r="G1519" s="5">
        <v>1683.4729211746801</v>
      </c>
      <c r="H1519" s="10">
        <v>7</v>
      </c>
      <c r="I1519" s="2">
        <v>318.06437445885302</v>
      </c>
      <c r="J1519" t="s">
        <v>12</v>
      </c>
    </row>
    <row r="1520" spans="1:10" x14ac:dyDescent="0.25">
      <c r="A1520" t="s">
        <v>318</v>
      </c>
      <c r="B1520" s="1">
        <f t="shared" si="92"/>
        <v>45230</v>
      </c>
      <c r="C1520" s="1" t="str">
        <f t="shared" si="93"/>
        <v>Tuesday</v>
      </c>
      <c r="D1520" s="1" t="str">
        <f t="shared" si="94"/>
        <v>October</v>
      </c>
      <c r="E1520" s="1" t="str">
        <f t="shared" si="95"/>
        <v>2023</v>
      </c>
      <c r="F1520" t="s">
        <v>13</v>
      </c>
      <c r="G1520" s="5">
        <v>15.236639575790001</v>
      </c>
      <c r="H1520" s="10">
        <v>2</v>
      </c>
      <c r="I1520" s="2">
        <v>178.36144191932101</v>
      </c>
      <c r="J1520" t="s">
        <v>8</v>
      </c>
    </row>
    <row r="1521" spans="1:10" x14ac:dyDescent="0.25">
      <c r="A1521" t="s">
        <v>318</v>
      </c>
      <c r="B1521" s="1">
        <f t="shared" si="92"/>
        <v>45230</v>
      </c>
      <c r="C1521" s="1" t="str">
        <f t="shared" si="93"/>
        <v>Tuesday</v>
      </c>
      <c r="D1521" s="1" t="str">
        <f t="shared" si="94"/>
        <v>October</v>
      </c>
      <c r="E1521" s="1" t="str">
        <f t="shared" si="95"/>
        <v>2023</v>
      </c>
      <c r="F1521" t="s">
        <v>16</v>
      </c>
      <c r="G1521" s="5">
        <v>596.76915514527502</v>
      </c>
      <c r="H1521" s="10">
        <v>12</v>
      </c>
      <c r="I1521" s="2">
        <v>83.538895741486598</v>
      </c>
      <c r="J1521" t="s">
        <v>8</v>
      </c>
    </row>
    <row r="1522" spans="1:10" x14ac:dyDescent="0.25">
      <c r="A1522" t="s">
        <v>319</v>
      </c>
      <c r="B1522" s="1">
        <f t="shared" si="92"/>
        <v>45231</v>
      </c>
      <c r="C1522" s="1" t="str">
        <f t="shared" si="93"/>
        <v>Wednesday</v>
      </c>
      <c r="D1522" s="1" t="str">
        <f t="shared" si="94"/>
        <v>November</v>
      </c>
      <c r="E1522" s="1" t="str">
        <f t="shared" si="95"/>
        <v>2023</v>
      </c>
      <c r="F1522" t="s">
        <v>7</v>
      </c>
      <c r="G1522" s="5">
        <v>629.86814753333294</v>
      </c>
      <c r="H1522" s="10">
        <v>14</v>
      </c>
      <c r="I1522" s="2">
        <v>209.59692544915501</v>
      </c>
      <c r="J1522" t="s">
        <v>12</v>
      </c>
    </row>
    <row r="1523" spans="1:10" x14ac:dyDescent="0.25">
      <c r="A1523" t="s">
        <v>319</v>
      </c>
      <c r="B1523" s="1">
        <f t="shared" si="92"/>
        <v>45231</v>
      </c>
      <c r="C1523" s="1" t="str">
        <f t="shared" si="93"/>
        <v>Wednesday</v>
      </c>
      <c r="D1523" s="1" t="str">
        <f t="shared" si="94"/>
        <v>November</v>
      </c>
      <c r="E1523" s="1" t="str">
        <f t="shared" si="95"/>
        <v>2023</v>
      </c>
      <c r="F1523" t="s">
        <v>9</v>
      </c>
      <c r="G1523" s="5">
        <v>95.577729687689995</v>
      </c>
      <c r="H1523" s="10">
        <v>15</v>
      </c>
      <c r="I1523" s="2">
        <v>278.683139599816</v>
      </c>
      <c r="J1523" t="s">
        <v>8</v>
      </c>
    </row>
    <row r="1524" spans="1:10" x14ac:dyDescent="0.25">
      <c r="A1524" t="s">
        <v>319</v>
      </c>
      <c r="B1524" s="1">
        <f t="shared" si="92"/>
        <v>45231</v>
      </c>
      <c r="C1524" s="1" t="str">
        <f t="shared" si="93"/>
        <v>Wednesday</v>
      </c>
      <c r="D1524" s="1" t="str">
        <f t="shared" si="94"/>
        <v>November</v>
      </c>
      <c r="E1524" s="1" t="str">
        <f t="shared" si="95"/>
        <v>2023</v>
      </c>
      <c r="F1524" t="s">
        <v>11</v>
      </c>
      <c r="G1524" s="5">
        <v>1478.39219236489</v>
      </c>
      <c r="H1524" s="10">
        <v>1</v>
      </c>
      <c r="I1524" s="2">
        <v>351.13151601120597</v>
      </c>
      <c r="J1524" t="s">
        <v>10</v>
      </c>
    </row>
    <row r="1525" spans="1:10" x14ac:dyDescent="0.25">
      <c r="A1525" t="s">
        <v>319</v>
      </c>
      <c r="B1525" s="1">
        <f t="shared" si="92"/>
        <v>45231</v>
      </c>
      <c r="C1525" s="1" t="str">
        <f t="shared" si="93"/>
        <v>Wednesday</v>
      </c>
      <c r="D1525" s="1" t="str">
        <f t="shared" si="94"/>
        <v>November</v>
      </c>
      <c r="E1525" s="1" t="str">
        <f t="shared" si="95"/>
        <v>2023</v>
      </c>
      <c r="F1525" t="s">
        <v>13</v>
      </c>
      <c r="G1525" s="5">
        <v>999.18394146726598</v>
      </c>
      <c r="H1525" s="10">
        <v>5</v>
      </c>
      <c r="I1525" s="2">
        <v>110.223035593668</v>
      </c>
      <c r="J1525" t="s">
        <v>12</v>
      </c>
    </row>
    <row r="1526" spans="1:10" x14ac:dyDescent="0.25">
      <c r="A1526" t="s">
        <v>319</v>
      </c>
      <c r="B1526" s="1">
        <f t="shared" si="92"/>
        <v>45231</v>
      </c>
      <c r="C1526" s="1" t="str">
        <f t="shared" si="93"/>
        <v>Wednesday</v>
      </c>
      <c r="D1526" s="1" t="str">
        <f t="shared" si="94"/>
        <v>November</v>
      </c>
      <c r="E1526" s="1" t="str">
        <f t="shared" si="95"/>
        <v>2023</v>
      </c>
      <c r="F1526" t="s">
        <v>16</v>
      </c>
      <c r="G1526" s="5">
        <v>431.73287182979999</v>
      </c>
      <c r="H1526" s="10">
        <v>15</v>
      </c>
      <c r="I1526" s="2">
        <v>60.3609942135434</v>
      </c>
      <c r="J1526" t="s">
        <v>14</v>
      </c>
    </row>
    <row r="1527" spans="1:10" x14ac:dyDescent="0.25">
      <c r="A1527" t="s">
        <v>320</v>
      </c>
      <c r="B1527" s="1">
        <f t="shared" si="92"/>
        <v>45232</v>
      </c>
      <c r="C1527" s="1" t="str">
        <f t="shared" si="93"/>
        <v>Thursday</v>
      </c>
      <c r="D1527" s="1" t="str">
        <f t="shared" si="94"/>
        <v>November</v>
      </c>
      <c r="E1527" s="1" t="str">
        <f t="shared" si="95"/>
        <v>2023</v>
      </c>
      <c r="F1527" t="s">
        <v>7</v>
      </c>
      <c r="G1527" s="5">
        <v>997.72513362368704</v>
      </c>
      <c r="H1527" s="10">
        <v>12</v>
      </c>
      <c r="I1527" s="2">
        <v>337.73341093666801</v>
      </c>
      <c r="J1527" t="s">
        <v>8</v>
      </c>
    </row>
    <row r="1528" spans="1:10" x14ac:dyDescent="0.25">
      <c r="A1528" t="s">
        <v>320</v>
      </c>
      <c r="B1528" s="1">
        <f t="shared" si="92"/>
        <v>45232</v>
      </c>
      <c r="C1528" s="1" t="str">
        <f t="shared" si="93"/>
        <v>Thursday</v>
      </c>
      <c r="D1528" s="1" t="str">
        <f t="shared" si="94"/>
        <v>November</v>
      </c>
      <c r="E1528" s="1" t="str">
        <f t="shared" si="95"/>
        <v>2023</v>
      </c>
      <c r="F1528" t="s">
        <v>9</v>
      </c>
      <c r="G1528" s="5">
        <v>157.4478555195</v>
      </c>
      <c r="H1528" s="10">
        <v>2</v>
      </c>
      <c r="I1528" s="2">
        <v>383.99978334956302</v>
      </c>
      <c r="J1528" t="s">
        <v>12</v>
      </c>
    </row>
    <row r="1529" spans="1:10" x14ac:dyDescent="0.25">
      <c r="A1529" t="s">
        <v>320</v>
      </c>
      <c r="B1529" s="1">
        <f t="shared" si="92"/>
        <v>45232</v>
      </c>
      <c r="C1529" s="1" t="str">
        <f t="shared" si="93"/>
        <v>Thursday</v>
      </c>
      <c r="D1529" s="1" t="str">
        <f t="shared" si="94"/>
        <v>November</v>
      </c>
      <c r="E1529" s="1" t="str">
        <f t="shared" si="95"/>
        <v>2023</v>
      </c>
      <c r="F1529" t="s">
        <v>11</v>
      </c>
      <c r="G1529" s="5">
        <v>731.94254514299996</v>
      </c>
      <c r="H1529" s="10">
        <v>13</v>
      </c>
      <c r="I1529" s="2">
        <v>175.79659747499699</v>
      </c>
      <c r="J1529" t="s">
        <v>10</v>
      </c>
    </row>
    <row r="1530" spans="1:10" x14ac:dyDescent="0.25">
      <c r="A1530" t="s">
        <v>320</v>
      </c>
      <c r="B1530" s="1">
        <f t="shared" si="92"/>
        <v>45232</v>
      </c>
      <c r="C1530" s="1" t="str">
        <f t="shared" si="93"/>
        <v>Thursday</v>
      </c>
      <c r="D1530" s="1" t="str">
        <f t="shared" si="94"/>
        <v>November</v>
      </c>
      <c r="E1530" s="1" t="str">
        <f t="shared" si="95"/>
        <v>2023</v>
      </c>
      <c r="F1530" t="s">
        <v>13</v>
      </c>
      <c r="G1530" s="5">
        <v>96.934358797300007</v>
      </c>
      <c r="H1530" s="10">
        <v>7</v>
      </c>
      <c r="I1530" s="2">
        <v>334.55008861070701</v>
      </c>
      <c r="J1530" t="s">
        <v>14</v>
      </c>
    </row>
    <row r="1531" spans="1:10" x14ac:dyDescent="0.25">
      <c r="A1531" t="s">
        <v>320</v>
      </c>
      <c r="B1531" s="1">
        <f t="shared" si="92"/>
        <v>45232</v>
      </c>
      <c r="C1531" s="1" t="str">
        <f t="shared" si="93"/>
        <v>Thursday</v>
      </c>
      <c r="D1531" s="1" t="str">
        <f t="shared" si="94"/>
        <v>November</v>
      </c>
      <c r="E1531" s="1" t="str">
        <f t="shared" si="95"/>
        <v>2023</v>
      </c>
      <c r="F1531" t="s">
        <v>16</v>
      </c>
      <c r="G1531" s="5">
        <v>1254.7669277866</v>
      </c>
      <c r="H1531" s="10">
        <v>13</v>
      </c>
      <c r="I1531" s="2">
        <v>144.03736292570699</v>
      </c>
      <c r="J1531" t="s">
        <v>14</v>
      </c>
    </row>
    <row r="1532" spans="1:10" x14ac:dyDescent="0.25">
      <c r="A1532" t="s">
        <v>321</v>
      </c>
      <c r="B1532" s="1">
        <f t="shared" si="92"/>
        <v>45233</v>
      </c>
      <c r="C1532" s="1" t="str">
        <f t="shared" si="93"/>
        <v>Friday</v>
      </c>
      <c r="D1532" s="1" t="str">
        <f t="shared" si="94"/>
        <v>November</v>
      </c>
      <c r="E1532" s="1" t="str">
        <f t="shared" si="95"/>
        <v>2023</v>
      </c>
      <c r="F1532" t="s">
        <v>7</v>
      </c>
      <c r="G1532" s="5">
        <v>1275.6996271774999</v>
      </c>
      <c r="H1532" s="10">
        <v>6</v>
      </c>
      <c r="I1532" s="2">
        <v>275.56251784161401</v>
      </c>
      <c r="J1532" t="s">
        <v>14</v>
      </c>
    </row>
    <row r="1533" spans="1:10" x14ac:dyDescent="0.25">
      <c r="A1533" t="s">
        <v>321</v>
      </c>
      <c r="B1533" s="1">
        <f t="shared" si="92"/>
        <v>45233</v>
      </c>
      <c r="C1533" s="1" t="str">
        <f t="shared" si="93"/>
        <v>Friday</v>
      </c>
      <c r="D1533" s="1" t="str">
        <f t="shared" si="94"/>
        <v>November</v>
      </c>
      <c r="E1533" s="1" t="str">
        <f t="shared" si="95"/>
        <v>2023</v>
      </c>
      <c r="F1533" t="s">
        <v>9</v>
      </c>
      <c r="G1533" s="5">
        <v>961.92465879111001</v>
      </c>
      <c r="H1533" s="10">
        <v>2</v>
      </c>
      <c r="I1533" s="2">
        <v>375.96562666278402</v>
      </c>
      <c r="J1533" t="s">
        <v>14</v>
      </c>
    </row>
    <row r="1534" spans="1:10" x14ac:dyDescent="0.25">
      <c r="A1534" t="s">
        <v>321</v>
      </c>
      <c r="B1534" s="1">
        <f t="shared" si="92"/>
        <v>45233</v>
      </c>
      <c r="C1534" s="1" t="str">
        <f t="shared" si="93"/>
        <v>Friday</v>
      </c>
      <c r="D1534" s="1" t="str">
        <f t="shared" si="94"/>
        <v>November</v>
      </c>
      <c r="E1534" s="1" t="str">
        <f t="shared" si="95"/>
        <v>2023</v>
      </c>
      <c r="F1534" t="s">
        <v>11</v>
      </c>
      <c r="G1534" s="5">
        <v>812.99479591292095</v>
      </c>
      <c r="H1534" s="10">
        <v>9</v>
      </c>
      <c r="I1534" s="2">
        <v>308.69773572947901</v>
      </c>
      <c r="J1534" t="s">
        <v>12</v>
      </c>
    </row>
    <row r="1535" spans="1:10" x14ac:dyDescent="0.25">
      <c r="A1535" t="s">
        <v>321</v>
      </c>
      <c r="B1535" s="1">
        <f t="shared" si="92"/>
        <v>45233</v>
      </c>
      <c r="C1535" s="1" t="str">
        <f t="shared" si="93"/>
        <v>Friday</v>
      </c>
      <c r="D1535" s="1" t="str">
        <f t="shared" si="94"/>
        <v>November</v>
      </c>
      <c r="E1535" s="1" t="str">
        <f t="shared" si="95"/>
        <v>2023</v>
      </c>
      <c r="F1535" t="s">
        <v>13</v>
      </c>
      <c r="G1535" s="5">
        <v>111.515284334</v>
      </c>
      <c r="H1535" s="10">
        <v>19</v>
      </c>
      <c r="I1535" s="2">
        <v>254.48013438144699</v>
      </c>
      <c r="J1535" t="s">
        <v>12</v>
      </c>
    </row>
    <row r="1536" spans="1:10" x14ac:dyDescent="0.25">
      <c r="A1536" t="s">
        <v>321</v>
      </c>
      <c r="B1536" s="1">
        <f t="shared" si="92"/>
        <v>45233</v>
      </c>
      <c r="C1536" s="1" t="str">
        <f t="shared" si="93"/>
        <v>Friday</v>
      </c>
      <c r="D1536" s="1" t="str">
        <f t="shared" si="94"/>
        <v>November</v>
      </c>
      <c r="E1536" s="1" t="str">
        <f t="shared" si="95"/>
        <v>2023</v>
      </c>
      <c r="F1536" t="s">
        <v>16</v>
      </c>
      <c r="G1536" s="5">
        <v>729.79858524625502</v>
      </c>
      <c r="H1536" s="10">
        <v>11</v>
      </c>
      <c r="I1536" s="2">
        <v>78.375494015972905</v>
      </c>
      <c r="J1536" t="s">
        <v>12</v>
      </c>
    </row>
    <row r="1537" spans="1:10" x14ac:dyDescent="0.25">
      <c r="A1537" t="s">
        <v>322</v>
      </c>
      <c r="B1537" s="1">
        <f t="shared" si="92"/>
        <v>45234</v>
      </c>
      <c r="C1537" s="1" t="str">
        <f t="shared" si="93"/>
        <v>Saturday</v>
      </c>
      <c r="D1537" s="1" t="str">
        <f t="shared" si="94"/>
        <v>November</v>
      </c>
      <c r="E1537" s="1" t="str">
        <f t="shared" si="95"/>
        <v>2023</v>
      </c>
      <c r="F1537" t="s">
        <v>7</v>
      </c>
      <c r="G1537" s="5">
        <v>71.739978573260004</v>
      </c>
      <c r="H1537" s="10">
        <v>11</v>
      </c>
      <c r="I1537" s="2">
        <v>225.729536880323</v>
      </c>
      <c r="J1537" t="s">
        <v>8</v>
      </c>
    </row>
    <row r="1538" spans="1:10" x14ac:dyDescent="0.25">
      <c r="A1538" t="s">
        <v>322</v>
      </c>
      <c r="B1538" s="1">
        <f t="shared" si="92"/>
        <v>45234</v>
      </c>
      <c r="C1538" s="1" t="str">
        <f t="shared" si="93"/>
        <v>Saturday</v>
      </c>
      <c r="D1538" s="1" t="str">
        <f t="shared" si="94"/>
        <v>November</v>
      </c>
      <c r="E1538" s="1" t="str">
        <f t="shared" si="95"/>
        <v>2023</v>
      </c>
      <c r="F1538" t="s">
        <v>9</v>
      </c>
      <c r="G1538" s="5">
        <v>478.17948418978</v>
      </c>
      <c r="H1538" s="10">
        <v>2</v>
      </c>
      <c r="I1538" s="2">
        <v>57.182141236890097</v>
      </c>
      <c r="J1538" t="s">
        <v>10</v>
      </c>
    </row>
    <row r="1539" spans="1:10" x14ac:dyDescent="0.25">
      <c r="A1539" t="s">
        <v>322</v>
      </c>
      <c r="B1539" s="1">
        <f t="shared" ref="B1539:B1602" si="96">DATE(VALUE(RIGHT(A1539,4)),VALUE(LEFT(A1539,FIND("/",A1539)-1)),VALUE(MID(A1539,FIND("/",A1539)+1,FIND("/",A1539,FIND("/",A1539)+1)-FIND("/",A1539)-1)))</f>
        <v>45234</v>
      </c>
      <c r="C1539" s="1" t="str">
        <f t="shared" ref="C1539:C1602" si="97">TEXT(B1539,"DDDD")</f>
        <v>Saturday</v>
      </c>
      <c r="D1539" s="1" t="str">
        <f t="shared" ref="D1539:D1602" si="98">TEXT(B1539,"MMMM")</f>
        <v>November</v>
      </c>
      <c r="E1539" s="1" t="str">
        <f t="shared" ref="E1539:E1602" si="99">TEXT(B1539,"YYYY")</f>
        <v>2023</v>
      </c>
      <c r="F1539" t="s">
        <v>11</v>
      </c>
      <c r="G1539" s="5">
        <v>684.25597691760004</v>
      </c>
      <c r="H1539" s="10">
        <v>15</v>
      </c>
      <c r="I1539" s="2">
        <v>201.09802820078701</v>
      </c>
      <c r="J1539" t="s">
        <v>8</v>
      </c>
    </row>
    <row r="1540" spans="1:10" x14ac:dyDescent="0.25">
      <c r="A1540" t="s">
        <v>322</v>
      </c>
      <c r="B1540" s="1">
        <f t="shared" si="96"/>
        <v>45234</v>
      </c>
      <c r="C1540" s="1" t="str">
        <f t="shared" si="97"/>
        <v>Saturday</v>
      </c>
      <c r="D1540" s="1" t="str">
        <f t="shared" si="98"/>
        <v>November</v>
      </c>
      <c r="E1540" s="1" t="str">
        <f t="shared" si="99"/>
        <v>2023</v>
      </c>
      <c r="F1540" t="s">
        <v>13</v>
      </c>
      <c r="G1540" s="5">
        <v>1888.9325368921</v>
      </c>
      <c r="H1540" s="10">
        <v>7</v>
      </c>
      <c r="I1540" s="2">
        <v>624.03324796261302</v>
      </c>
      <c r="J1540" t="s">
        <v>10</v>
      </c>
    </row>
    <row r="1541" spans="1:10" x14ac:dyDescent="0.25">
      <c r="A1541" t="s">
        <v>322</v>
      </c>
      <c r="B1541" s="1">
        <f t="shared" si="96"/>
        <v>45234</v>
      </c>
      <c r="C1541" s="1" t="str">
        <f t="shared" si="97"/>
        <v>Saturday</v>
      </c>
      <c r="D1541" s="1" t="str">
        <f t="shared" si="98"/>
        <v>November</v>
      </c>
      <c r="E1541" s="1" t="str">
        <f t="shared" si="99"/>
        <v>2023</v>
      </c>
      <c r="F1541" t="s">
        <v>16</v>
      </c>
      <c r="G1541" s="5">
        <v>1322.6972464775999</v>
      </c>
      <c r="H1541" s="10">
        <v>6</v>
      </c>
      <c r="I1541" s="2">
        <v>365.73862615078201</v>
      </c>
      <c r="J1541" t="s">
        <v>10</v>
      </c>
    </row>
    <row r="1542" spans="1:10" x14ac:dyDescent="0.25">
      <c r="A1542" t="s">
        <v>323</v>
      </c>
      <c r="B1542" s="1">
        <f t="shared" si="96"/>
        <v>45235</v>
      </c>
      <c r="C1542" s="1" t="str">
        <f t="shared" si="97"/>
        <v>Sunday</v>
      </c>
      <c r="D1542" s="1" t="str">
        <f t="shared" si="98"/>
        <v>November</v>
      </c>
      <c r="E1542" s="1" t="str">
        <f t="shared" si="99"/>
        <v>2023</v>
      </c>
      <c r="F1542" t="s">
        <v>7</v>
      </c>
      <c r="G1542" s="5">
        <v>1324.5165831852</v>
      </c>
      <c r="H1542" s="10">
        <v>12</v>
      </c>
      <c r="I1542" s="2">
        <v>367.96236823703703</v>
      </c>
      <c r="J1542" t="s">
        <v>12</v>
      </c>
    </row>
    <row r="1543" spans="1:10" x14ac:dyDescent="0.25">
      <c r="A1543" t="s">
        <v>323</v>
      </c>
      <c r="B1543" s="1">
        <f t="shared" si="96"/>
        <v>45235</v>
      </c>
      <c r="C1543" s="1" t="str">
        <f t="shared" si="97"/>
        <v>Sunday</v>
      </c>
      <c r="D1543" s="1" t="str">
        <f t="shared" si="98"/>
        <v>November</v>
      </c>
      <c r="E1543" s="1" t="str">
        <f t="shared" si="99"/>
        <v>2023</v>
      </c>
      <c r="F1543" t="s">
        <v>9</v>
      </c>
      <c r="G1543" s="5">
        <v>863.84615987569998</v>
      </c>
      <c r="H1543" s="10">
        <v>5</v>
      </c>
      <c r="I1543" s="2">
        <v>308.55180073646397</v>
      </c>
      <c r="J1543" t="s">
        <v>12</v>
      </c>
    </row>
    <row r="1544" spans="1:10" x14ac:dyDescent="0.25">
      <c r="A1544" t="s">
        <v>323</v>
      </c>
      <c r="B1544" s="1">
        <f t="shared" si="96"/>
        <v>45235</v>
      </c>
      <c r="C1544" s="1" t="str">
        <f t="shared" si="97"/>
        <v>Sunday</v>
      </c>
      <c r="D1544" s="1" t="str">
        <f t="shared" si="98"/>
        <v>November</v>
      </c>
      <c r="E1544" s="1" t="str">
        <f t="shared" si="99"/>
        <v>2023</v>
      </c>
      <c r="F1544" t="s">
        <v>11</v>
      </c>
      <c r="G1544" s="5">
        <v>1232.9938851823999</v>
      </c>
      <c r="H1544" s="10">
        <v>10</v>
      </c>
      <c r="I1544" s="2">
        <v>225.08429434794101</v>
      </c>
      <c r="J1544" t="s">
        <v>14</v>
      </c>
    </row>
    <row r="1545" spans="1:10" x14ac:dyDescent="0.25">
      <c r="A1545" t="s">
        <v>323</v>
      </c>
      <c r="B1545" s="1">
        <f t="shared" si="96"/>
        <v>45235</v>
      </c>
      <c r="C1545" s="1" t="str">
        <f t="shared" si="97"/>
        <v>Sunday</v>
      </c>
      <c r="D1545" s="1" t="str">
        <f t="shared" si="98"/>
        <v>November</v>
      </c>
      <c r="E1545" s="1" t="str">
        <f t="shared" si="99"/>
        <v>2023</v>
      </c>
      <c r="F1545" t="s">
        <v>13</v>
      </c>
      <c r="G1545" s="5">
        <v>983.15971511212399</v>
      </c>
      <c r="H1545" s="10">
        <v>17</v>
      </c>
      <c r="I1545" s="2">
        <v>198.07648995214001</v>
      </c>
      <c r="J1545" t="s">
        <v>14</v>
      </c>
    </row>
    <row r="1546" spans="1:10" x14ac:dyDescent="0.25">
      <c r="A1546" t="s">
        <v>323</v>
      </c>
      <c r="B1546" s="1">
        <f t="shared" si="96"/>
        <v>45235</v>
      </c>
      <c r="C1546" s="1" t="str">
        <f t="shared" si="97"/>
        <v>Sunday</v>
      </c>
      <c r="D1546" s="1" t="str">
        <f t="shared" si="98"/>
        <v>November</v>
      </c>
      <c r="E1546" s="1" t="str">
        <f t="shared" si="99"/>
        <v>2023</v>
      </c>
      <c r="F1546" t="s">
        <v>16</v>
      </c>
      <c r="G1546" s="5">
        <v>894.74517977569997</v>
      </c>
      <c r="H1546" s="10">
        <v>14</v>
      </c>
      <c r="I1546" s="2">
        <v>308.74710962327703</v>
      </c>
      <c r="J1546" t="s">
        <v>8</v>
      </c>
    </row>
    <row r="1547" spans="1:10" x14ac:dyDescent="0.25">
      <c r="A1547" t="s">
        <v>324</v>
      </c>
      <c r="B1547" s="1">
        <f t="shared" si="96"/>
        <v>45236</v>
      </c>
      <c r="C1547" s="1" t="str">
        <f t="shared" si="97"/>
        <v>Monday</v>
      </c>
      <c r="D1547" s="1" t="str">
        <f t="shared" si="98"/>
        <v>November</v>
      </c>
      <c r="E1547" s="1" t="str">
        <f t="shared" si="99"/>
        <v>2023</v>
      </c>
      <c r="F1547" t="s">
        <v>7</v>
      </c>
      <c r="G1547" s="5">
        <v>334.49567198467503</v>
      </c>
      <c r="H1547" s="10">
        <v>13</v>
      </c>
      <c r="I1547" s="2">
        <v>103.646921671689</v>
      </c>
      <c r="J1547" t="s">
        <v>10</v>
      </c>
    </row>
    <row r="1548" spans="1:10" x14ac:dyDescent="0.25">
      <c r="A1548" t="s">
        <v>324</v>
      </c>
      <c r="B1548" s="1">
        <f t="shared" si="96"/>
        <v>45236</v>
      </c>
      <c r="C1548" s="1" t="str">
        <f t="shared" si="97"/>
        <v>Monday</v>
      </c>
      <c r="D1548" s="1" t="str">
        <f t="shared" si="98"/>
        <v>November</v>
      </c>
      <c r="E1548" s="1" t="str">
        <f t="shared" si="99"/>
        <v>2023</v>
      </c>
      <c r="F1548" t="s">
        <v>9</v>
      </c>
      <c r="G1548" s="5">
        <v>729.82289423918098</v>
      </c>
      <c r="H1548" s="10">
        <v>15</v>
      </c>
      <c r="I1548" s="2">
        <v>216.50414488052999</v>
      </c>
      <c r="J1548" t="s">
        <v>8</v>
      </c>
    </row>
    <row r="1549" spans="1:10" x14ac:dyDescent="0.25">
      <c r="A1549" t="s">
        <v>324</v>
      </c>
      <c r="B1549" s="1">
        <f t="shared" si="96"/>
        <v>45236</v>
      </c>
      <c r="C1549" s="1" t="str">
        <f t="shared" si="97"/>
        <v>Monday</v>
      </c>
      <c r="D1549" s="1" t="str">
        <f t="shared" si="98"/>
        <v>November</v>
      </c>
      <c r="E1549" s="1" t="str">
        <f t="shared" si="99"/>
        <v>2023</v>
      </c>
      <c r="F1549" t="s">
        <v>11</v>
      </c>
      <c r="G1549" s="5">
        <v>66.164514619675998</v>
      </c>
      <c r="H1549" s="10">
        <v>16</v>
      </c>
      <c r="I1549" s="2">
        <v>184.38705214024699</v>
      </c>
      <c r="J1549" t="s">
        <v>14</v>
      </c>
    </row>
    <row r="1550" spans="1:10" x14ac:dyDescent="0.25">
      <c r="A1550" t="s">
        <v>324</v>
      </c>
      <c r="B1550" s="1">
        <f t="shared" si="96"/>
        <v>45236</v>
      </c>
      <c r="C1550" s="1" t="str">
        <f t="shared" si="97"/>
        <v>Monday</v>
      </c>
      <c r="D1550" s="1" t="str">
        <f t="shared" si="98"/>
        <v>November</v>
      </c>
      <c r="E1550" s="1" t="str">
        <f t="shared" si="99"/>
        <v>2023</v>
      </c>
      <c r="F1550" t="s">
        <v>13</v>
      </c>
      <c r="G1550" s="5">
        <v>998.61349332894304</v>
      </c>
      <c r="H1550" s="10">
        <v>2</v>
      </c>
      <c r="I1550" s="2">
        <v>300.811850911058</v>
      </c>
      <c r="J1550" t="s">
        <v>12</v>
      </c>
    </row>
    <row r="1551" spans="1:10" x14ac:dyDescent="0.25">
      <c r="A1551" t="s">
        <v>324</v>
      </c>
      <c r="B1551" s="1">
        <f t="shared" si="96"/>
        <v>45236</v>
      </c>
      <c r="C1551" s="1" t="str">
        <f t="shared" si="97"/>
        <v>Monday</v>
      </c>
      <c r="D1551" s="1" t="str">
        <f t="shared" si="98"/>
        <v>November</v>
      </c>
      <c r="E1551" s="1" t="str">
        <f t="shared" si="99"/>
        <v>2023</v>
      </c>
      <c r="F1551" t="s">
        <v>16</v>
      </c>
      <c r="G1551" s="5">
        <v>1111.2421556625</v>
      </c>
      <c r="H1551" s="10">
        <v>6</v>
      </c>
      <c r="I1551" s="2">
        <v>390.77030541871397</v>
      </c>
      <c r="J1551" t="s">
        <v>10</v>
      </c>
    </row>
    <row r="1552" spans="1:10" x14ac:dyDescent="0.25">
      <c r="A1552" t="s">
        <v>325</v>
      </c>
      <c r="B1552" s="1">
        <f t="shared" si="96"/>
        <v>45237</v>
      </c>
      <c r="C1552" s="1" t="str">
        <f t="shared" si="97"/>
        <v>Tuesday</v>
      </c>
      <c r="D1552" s="1" t="str">
        <f t="shared" si="98"/>
        <v>November</v>
      </c>
      <c r="E1552" s="1" t="str">
        <f t="shared" si="99"/>
        <v>2023</v>
      </c>
      <c r="F1552" t="s">
        <v>7</v>
      </c>
      <c r="G1552" s="5">
        <v>779.62798428227995</v>
      </c>
      <c r="H1552" s="10">
        <v>7</v>
      </c>
      <c r="I1552" s="2">
        <v>122.98471249365799</v>
      </c>
      <c r="J1552" t="s">
        <v>8</v>
      </c>
    </row>
    <row r="1553" spans="1:10" x14ac:dyDescent="0.25">
      <c r="A1553" t="s">
        <v>325</v>
      </c>
      <c r="B1553" s="1">
        <f t="shared" si="96"/>
        <v>45237</v>
      </c>
      <c r="C1553" s="1" t="str">
        <f t="shared" si="97"/>
        <v>Tuesday</v>
      </c>
      <c r="D1553" s="1" t="str">
        <f t="shared" si="98"/>
        <v>November</v>
      </c>
      <c r="E1553" s="1" t="str">
        <f t="shared" si="99"/>
        <v>2023</v>
      </c>
      <c r="F1553" t="s">
        <v>9</v>
      </c>
      <c r="G1553" s="5">
        <v>394.56298528999997</v>
      </c>
      <c r="H1553" s="10">
        <v>8</v>
      </c>
      <c r="I1553" s="2">
        <v>147.11535020040401</v>
      </c>
      <c r="J1553" t="s">
        <v>10</v>
      </c>
    </row>
    <row r="1554" spans="1:10" x14ac:dyDescent="0.25">
      <c r="A1554" t="s">
        <v>325</v>
      </c>
      <c r="B1554" s="1">
        <f t="shared" si="96"/>
        <v>45237</v>
      </c>
      <c r="C1554" s="1" t="str">
        <f t="shared" si="97"/>
        <v>Tuesday</v>
      </c>
      <c r="D1554" s="1" t="str">
        <f t="shared" si="98"/>
        <v>November</v>
      </c>
      <c r="E1554" s="1" t="str">
        <f t="shared" si="99"/>
        <v>2023</v>
      </c>
      <c r="F1554" t="s">
        <v>11</v>
      </c>
      <c r="G1554" s="5">
        <v>1739.26373229976</v>
      </c>
      <c r="H1554" s="10">
        <v>18</v>
      </c>
      <c r="I1554" s="2">
        <v>352.58099924941502</v>
      </c>
      <c r="J1554" t="s">
        <v>14</v>
      </c>
    </row>
    <row r="1555" spans="1:10" x14ac:dyDescent="0.25">
      <c r="A1555" t="s">
        <v>325</v>
      </c>
      <c r="B1555" s="1">
        <f t="shared" si="96"/>
        <v>45237</v>
      </c>
      <c r="C1555" s="1" t="str">
        <f t="shared" si="97"/>
        <v>Tuesday</v>
      </c>
      <c r="D1555" s="1" t="str">
        <f t="shared" si="98"/>
        <v>November</v>
      </c>
      <c r="E1555" s="1" t="str">
        <f t="shared" si="99"/>
        <v>2023</v>
      </c>
      <c r="F1555" t="s">
        <v>13</v>
      </c>
      <c r="G1555" s="5">
        <v>198.29343298449999</v>
      </c>
      <c r="H1555" s="10">
        <v>9</v>
      </c>
      <c r="I1555" s="2">
        <v>139.89549666462401</v>
      </c>
      <c r="J1555" t="s">
        <v>12</v>
      </c>
    </row>
    <row r="1556" spans="1:10" x14ac:dyDescent="0.25">
      <c r="A1556" t="s">
        <v>325</v>
      </c>
      <c r="B1556" s="1">
        <f t="shared" si="96"/>
        <v>45237</v>
      </c>
      <c r="C1556" s="1" t="str">
        <f t="shared" si="97"/>
        <v>Tuesday</v>
      </c>
      <c r="D1556" s="1" t="str">
        <f t="shared" si="98"/>
        <v>November</v>
      </c>
      <c r="E1556" s="1" t="str">
        <f t="shared" si="99"/>
        <v>2023</v>
      </c>
      <c r="F1556" t="s">
        <v>16</v>
      </c>
      <c r="G1556" s="5">
        <v>1248.7641822478699</v>
      </c>
      <c r="H1556" s="10">
        <v>4</v>
      </c>
      <c r="I1556" s="2">
        <v>195.39370690000001</v>
      </c>
      <c r="J1556" t="s">
        <v>12</v>
      </c>
    </row>
    <row r="1557" spans="1:10" x14ac:dyDescent="0.25">
      <c r="A1557" t="s">
        <v>326</v>
      </c>
      <c r="B1557" s="1">
        <f t="shared" si="96"/>
        <v>45238</v>
      </c>
      <c r="C1557" s="1" t="str">
        <f t="shared" si="97"/>
        <v>Wednesday</v>
      </c>
      <c r="D1557" s="1" t="str">
        <f t="shared" si="98"/>
        <v>November</v>
      </c>
      <c r="E1557" s="1" t="str">
        <f t="shared" si="99"/>
        <v>2023</v>
      </c>
      <c r="F1557" t="s">
        <v>7</v>
      </c>
      <c r="G1557" s="5">
        <v>1276.835529</v>
      </c>
      <c r="H1557" s="10">
        <v>5</v>
      </c>
      <c r="I1557" s="2">
        <v>149.51835498182299</v>
      </c>
      <c r="J1557" t="s">
        <v>10</v>
      </c>
    </row>
    <row r="1558" spans="1:10" x14ac:dyDescent="0.25">
      <c r="A1558" t="s">
        <v>326</v>
      </c>
      <c r="B1558" s="1">
        <f t="shared" si="96"/>
        <v>45238</v>
      </c>
      <c r="C1558" s="1" t="str">
        <f t="shared" si="97"/>
        <v>Wednesday</v>
      </c>
      <c r="D1558" s="1" t="str">
        <f t="shared" si="98"/>
        <v>November</v>
      </c>
      <c r="E1558" s="1" t="str">
        <f t="shared" si="99"/>
        <v>2023</v>
      </c>
      <c r="F1558" t="s">
        <v>9</v>
      </c>
      <c r="G1558" s="5">
        <v>71.374147100000002</v>
      </c>
      <c r="H1558" s="10">
        <v>6</v>
      </c>
      <c r="I1558" s="2">
        <v>81.480904570939799</v>
      </c>
      <c r="J1558" t="s">
        <v>12</v>
      </c>
    </row>
    <row r="1559" spans="1:10" x14ac:dyDescent="0.25">
      <c r="A1559" t="s">
        <v>326</v>
      </c>
      <c r="B1559" s="1">
        <f t="shared" si="96"/>
        <v>45238</v>
      </c>
      <c r="C1559" s="1" t="str">
        <f t="shared" si="97"/>
        <v>Wednesday</v>
      </c>
      <c r="D1559" s="1" t="str">
        <f t="shared" si="98"/>
        <v>November</v>
      </c>
      <c r="E1559" s="1" t="str">
        <f t="shared" si="99"/>
        <v>2023</v>
      </c>
      <c r="F1559" t="s">
        <v>11</v>
      </c>
      <c r="G1559" s="5">
        <v>92.168796739900003</v>
      </c>
      <c r="H1559" s="10">
        <v>14</v>
      </c>
      <c r="I1559" s="2">
        <v>367.60024751320901</v>
      </c>
      <c r="J1559" t="s">
        <v>8</v>
      </c>
    </row>
    <row r="1560" spans="1:10" x14ac:dyDescent="0.25">
      <c r="A1560" t="s">
        <v>326</v>
      </c>
      <c r="B1560" s="1">
        <f t="shared" si="96"/>
        <v>45238</v>
      </c>
      <c r="C1560" s="1" t="str">
        <f t="shared" si="97"/>
        <v>Wednesday</v>
      </c>
      <c r="D1560" s="1" t="str">
        <f t="shared" si="98"/>
        <v>November</v>
      </c>
      <c r="E1560" s="1" t="str">
        <f t="shared" si="99"/>
        <v>2023</v>
      </c>
      <c r="F1560" t="s">
        <v>13</v>
      </c>
      <c r="G1560" s="5">
        <v>1328.41499148</v>
      </c>
      <c r="H1560" s="10">
        <v>13</v>
      </c>
      <c r="I1560" s="2">
        <v>143.444127041923</v>
      </c>
      <c r="J1560" t="s">
        <v>10</v>
      </c>
    </row>
    <row r="1561" spans="1:10" x14ac:dyDescent="0.25">
      <c r="A1561" t="s">
        <v>326</v>
      </c>
      <c r="B1561" s="1">
        <f t="shared" si="96"/>
        <v>45238</v>
      </c>
      <c r="C1561" s="1" t="str">
        <f t="shared" si="97"/>
        <v>Wednesday</v>
      </c>
      <c r="D1561" s="1" t="str">
        <f t="shared" si="98"/>
        <v>November</v>
      </c>
      <c r="E1561" s="1" t="str">
        <f t="shared" si="99"/>
        <v>2023</v>
      </c>
      <c r="F1561" t="s">
        <v>16</v>
      </c>
      <c r="G1561" s="5">
        <v>487.43725857212002</v>
      </c>
      <c r="H1561" s="10">
        <v>17</v>
      </c>
      <c r="I1561" s="2">
        <v>140.22360218069201</v>
      </c>
      <c r="J1561" t="s">
        <v>14</v>
      </c>
    </row>
    <row r="1562" spans="1:10" x14ac:dyDescent="0.25">
      <c r="A1562" t="s">
        <v>327</v>
      </c>
      <c r="B1562" s="1">
        <f t="shared" si="96"/>
        <v>45239</v>
      </c>
      <c r="C1562" s="1" t="str">
        <f t="shared" si="97"/>
        <v>Thursday</v>
      </c>
      <c r="D1562" s="1" t="str">
        <f t="shared" si="98"/>
        <v>November</v>
      </c>
      <c r="E1562" s="1" t="str">
        <f t="shared" si="99"/>
        <v>2023</v>
      </c>
      <c r="F1562" t="s">
        <v>7</v>
      </c>
      <c r="G1562" s="5">
        <v>1294.3363564374999</v>
      </c>
      <c r="H1562" s="10">
        <v>10</v>
      </c>
      <c r="I1562" s="2">
        <v>209.37779836874199</v>
      </c>
      <c r="J1562" t="s">
        <v>14</v>
      </c>
    </row>
    <row r="1563" spans="1:10" x14ac:dyDescent="0.25">
      <c r="A1563" t="s">
        <v>327</v>
      </c>
      <c r="B1563" s="1">
        <f t="shared" si="96"/>
        <v>45239</v>
      </c>
      <c r="C1563" s="1" t="str">
        <f t="shared" si="97"/>
        <v>Thursday</v>
      </c>
      <c r="D1563" s="1" t="str">
        <f t="shared" si="98"/>
        <v>November</v>
      </c>
      <c r="E1563" s="1" t="str">
        <f t="shared" si="99"/>
        <v>2023</v>
      </c>
      <c r="F1563" t="s">
        <v>9</v>
      </c>
      <c r="G1563" s="5">
        <v>1339.4914359490001</v>
      </c>
      <c r="H1563" s="10">
        <v>9</v>
      </c>
      <c r="I1563" s="2">
        <v>184.62618001766401</v>
      </c>
      <c r="J1563" t="s">
        <v>12</v>
      </c>
    </row>
    <row r="1564" spans="1:10" x14ac:dyDescent="0.25">
      <c r="A1564" t="s">
        <v>327</v>
      </c>
      <c r="B1564" s="1">
        <f t="shared" si="96"/>
        <v>45239</v>
      </c>
      <c r="C1564" s="1" t="str">
        <f t="shared" si="97"/>
        <v>Thursday</v>
      </c>
      <c r="D1564" s="1" t="str">
        <f t="shared" si="98"/>
        <v>November</v>
      </c>
      <c r="E1564" s="1" t="str">
        <f t="shared" si="99"/>
        <v>2023</v>
      </c>
      <c r="F1564" t="s">
        <v>11</v>
      </c>
      <c r="G1564" s="5">
        <v>1316.419449453</v>
      </c>
      <c r="H1564" s="10">
        <v>1</v>
      </c>
      <c r="I1564" s="2">
        <v>162.21376070598899</v>
      </c>
      <c r="J1564" t="s">
        <v>12</v>
      </c>
    </row>
    <row r="1565" spans="1:10" x14ac:dyDescent="0.25">
      <c r="A1565" t="s">
        <v>327</v>
      </c>
      <c r="B1565" s="1">
        <f t="shared" si="96"/>
        <v>45239</v>
      </c>
      <c r="C1565" s="1" t="str">
        <f t="shared" si="97"/>
        <v>Thursday</v>
      </c>
      <c r="D1565" s="1" t="str">
        <f t="shared" si="98"/>
        <v>November</v>
      </c>
      <c r="E1565" s="1" t="str">
        <f t="shared" si="99"/>
        <v>2023</v>
      </c>
      <c r="F1565" t="s">
        <v>13</v>
      </c>
      <c r="G1565" s="5">
        <v>762.9817382</v>
      </c>
      <c r="H1565" s="10">
        <v>3</v>
      </c>
      <c r="I1565" s="2">
        <v>214.15134195469699</v>
      </c>
      <c r="J1565" t="s">
        <v>12</v>
      </c>
    </row>
    <row r="1566" spans="1:10" x14ac:dyDescent="0.25">
      <c r="A1566" t="s">
        <v>327</v>
      </c>
      <c r="B1566" s="1">
        <f t="shared" si="96"/>
        <v>45239</v>
      </c>
      <c r="C1566" s="1" t="str">
        <f t="shared" si="97"/>
        <v>Thursday</v>
      </c>
      <c r="D1566" s="1" t="str">
        <f t="shared" si="98"/>
        <v>November</v>
      </c>
      <c r="E1566" s="1" t="str">
        <f t="shared" si="99"/>
        <v>2023</v>
      </c>
      <c r="F1566" t="s">
        <v>16</v>
      </c>
      <c r="G1566" s="5">
        <v>1388.4956754458001</v>
      </c>
      <c r="H1566" s="10">
        <v>18</v>
      </c>
      <c r="I1566" s="2">
        <v>486.44207017355399</v>
      </c>
      <c r="J1566" t="s">
        <v>14</v>
      </c>
    </row>
    <row r="1567" spans="1:10" x14ac:dyDescent="0.25">
      <c r="A1567" t="s">
        <v>328</v>
      </c>
      <c r="B1567" s="1">
        <f t="shared" si="96"/>
        <v>45240</v>
      </c>
      <c r="C1567" s="1" t="str">
        <f t="shared" si="97"/>
        <v>Friday</v>
      </c>
      <c r="D1567" s="1" t="str">
        <f t="shared" si="98"/>
        <v>November</v>
      </c>
      <c r="E1567" s="1" t="str">
        <f t="shared" si="99"/>
        <v>2023</v>
      </c>
      <c r="F1567" t="s">
        <v>7</v>
      </c>
      <c r="G1567" s="5">
        <v>1163.2661572100001</v>
      </c>
      <c r="H1567" s="10">
        <v>5</v>
      </c>
      <c r="I1567" s="2">
        <v>289.84957136990101</v>
      </c>
      <c r="J1567" t="s">
        <v>14</v>
      </c>
    </row>
    <row r="1568" spans="1:10" x14ac:dyDescent="0.25">
      <c r="A1568" t="s">
        <v>328</v>
      </c>
      <c r="B1568" s="1">
        <f t="shared" si="96"/>
        <v>45240</v>
      </c>
      <c r="C1568" s="1" t="str">
        <f t="shared" si="97"/>
        <v>Friday</v>
      </c>
      <c r="D1568" s="1" t="str">
        <f t="shared" si="98"/>
        <v>November</v>
      </c>
      <c r="E1568" s="1" t="str">
        <f t="shared" si="99"/>
        <v>2023</v>
      </c>
      <c r="F1568" t="s">
        <v>9</v>
      </c>
      <c r="G1568" s="5">
        <v>1269.58535187959</v>
      </c>
      <c r="H1568" s="10">
        <v>17</v>
      </c>
      <c r="I1568" s="2">
        <v>291.49274864125601</v>
      </c>
      <c r="J1568" t="s">
        <v>8</v>
      </c>
    </row>
    <row r="1569" spans="1:10" x14ac:dyDescent="0.25">
      <c r="A1569" t="s">
        <v>328</v>
      </c>
      <c r="B1569" s="1">
        <f t="shared" si="96"/>
        <v>45240</v>
      </c>
      <c r="C1569" s="1" t="str">
        <f t="shared" si="97"/>
        <v>Friday</v>
      </c>
      <c r="D1569" s="1" t="str">
        <f t="shared" si="98"/>
        <v>November</v>
      </c>
      <c r="E1569" s="1" t="str">
        <f t="shared" si="99"/>
        <v>2023</v>
      </c>
      <c r="F1569" t="s">
        <v>11</v>
      </c>
      <c r="G1569" s="5">
        <v>589.49172383792995</v>
      </c>
      <c r="H1569" s="10">
        <v>13</v>
      </c>
      <c r="I1569" s="2">
        <v>161.48391881984</v>
      </c>
      <c r="J1569" t="s">
        <v>10</v>
      </c>
    </row>
    <row r="1570" spans="1:10" x14ac:dyDescent="0.25">
      <c r="A1570" t="s">
        <v>328</v>
      </c>
      <c r="B1570" s="1">
        <f t="shared" si="96"/>
        <v>45240</v>
      </c>
      <c r="C1570" s="1" t="str">
        <f t="shared" si="97"/>
        <v>Friday</v>
      </c>
      <c r="D1570" s="1" t="str">
        <f t="shared" si="98"/>
        <v>November</v>
      </c>
      <c r="E1570" s="1" t="str">
        <f t="shared" si="99"/>
        <v>2023</v>
      </c>
      <c r="F1570" t="s">
        <v>13</v>
      </c>
      <c r="G1570" s="5">
        <v>1196.7914394878901</v>
      </c>
      <c r="H1570" s="10">
        <v>12</v>
      </c>
      <c r="I1570" s="2">
        <v>136.94129331998599</v>
      </c>
      <c r="J1570" t="s">
        <v>8</v>
      </c>
    </row>
    <row r="1571" spans="1:10" x14ac:dyDescent="0.25">
      <c r="A1571" t="s">
        <v>328</v>
      </c>
      <c r="B1571" s="1">
        <f t="shared" si="96"/>
        <v>45240</v>
      </c>
      <c r="C1571" s="1" t="str">
        <f t="shared" si="97"/>
        <v>Friday</v>
      </c>
      <c r="D1571" s="1" t="str">
        <f t="shared" si="98"/>
        <v>November</v>
      </c>
      <c r="E1571" s="1" t="str">
        <f t="shared" si="99"/>
        <v>2023</v>
      </c>
      <c r="F1571" t="s">
        <v>16</v>
      </c>
      <c r="G1571" s="5">
        <v>127.7991975187</v>
      </c>
      <c r="H1571" s="10">
        <v>1</v>
      </c>
      <c r="I1571" s="2">
        <v>126.012067938988</v>
      </c>
      <c r="J1571" t="s">
        <v>12</v>
      </c>
    </row>
    <row r="1572" spans="1:10" x14ac:dyDescent="0.25">
      <c r="A1572" t="s">
        <v>329</v>
      </c>
      <c r="B1572" s="1">
        <f t="shared" si="96"/>
        <v>45241</v>
      </c>
      <c r="C1572" s="1" t="str">
        <f t="shared" si="97"/>
        <v>Saturday</v>
      </c>
      <c r="D1572" s="1" t="str">
        <f t="shared" si="98"/>
        <v>November</v>
      </c>
      <c r="E1572" s="1" t="str">
        <f t="shared" si="99"/>
        <v>2023</v>
      </c>
      <c r="F1572" t="s">
        <v>7</v>
      </c>
      <c r="G1572" s="5">
        <v>11.164185412</v>
      </c>
      <c r="H1572" s="10">
        <v>16</v>
      </c>
      <c r="I1572" s="2">
        <v>162.62091105674699</v>
      </c>
      <c r="J1572" t="s">
        <v>10</v>
      </c>
    </row>
    <row r="1573" spans="1:10" x14ac:dyDescent="0.25">
      <c r="A1573" t="s">
        <v>329</v>
      </c>
      <c r="B1573" s="1">
        <f t="shared" si="96"/>
        <v>45241</v>
      </c>
      <c r="C1573" s="1" t="str">
        <f t="shared" si="97"/>
        <v>Saturday</v>
      </c>
      <c r="D1573" s="1" t="str">
        <f t="shared" si="98"/>
        <v>November</v>
      </c>
      <c r="E1573" s="1" t="str">
        <f t="shared" si="99"/>
        <v>2023</v>
      </c>
      <c r="F1573" t="s">
        <v>9</v>
      </c>
      <c r="G1573" s="5">
        <v>1486.6524756695001</v>
      </c>
      <c r="H1573" s="10">
        <v>17</v>
      </c>
      <c r="I1573" s="2">
        <v>261.67138073143002</v>
      </c>
      <c r="J1573" t="s">
        <v>10</v>
      </c>
    </row>
    <row r="1574" spans="1:10" x14ac:dyDescent="0.25">
      <c r="A1574" t="s">
        <v>329</v>
      </c>
      <c r="B1574" s="1">
        <f t="shared" si="96"/>
        <v>45241</v>
      </c>
      <c r="C1574" s="1" t="str">
        <f t="shared" si="97"/>
        <v>Saturday</v>
      </c>
      <c r="D1574" s="1" t="str">
        <f t="shared" si="98"/>
        <v>November</v>
      </c>
      <c r="E1574" s="1" t="str">
        <f t="shared" si="99"/>
        <v>2023</v>
      </c>
      <c r="F1574" t="s">
        <v>11</v>
      </c>
      <c r="G1574" s="5">
        <v>1141.55871493</v>
      </c>
      <c r="H1574" s="10">
        <v>11</v>
      </c>
      <c r="I1574" s="2">
        <v>399.32650766721702</v>
      </c>
      <c r="J1574" t="s">
        <v>12</v>
      </c>
    </row>
    <row r="1575" spans="1:10" x14ac:dyDescent="0.25">
      <c r="A1575" t="s">
        <v>329</v>
      </c>
      <c r="B1575" s="1">
        <f t="shared" si="96"/>
        <v>45241</v>
      </c>
      <c r="C1575" s="1" t="str">
        <f t="shared" si="97"/>
        <v>Saturday</v>
      </c>
      <c r="D1575" s="1" t="str">
        <f t="shared" si="98"/>
        <v>November</v>
      </c>
      <c r="E1575" s="1" t="str">
        <f t="shared" si="99"/>
        <v>2023</v>
      </c>
      <c r="F1575" t="s">
        <v>13</v>
      </c>
      <c r="G1575" s="5">
        <v>735.1138465967</v>
      </c>
      <c r="H1575" s="10">
        <v>19</v>
      </c>
      <c r="I1575" s="2">
        <v>274.556283459057</v>
      </c>
      <c r="J1575" t="s">
        <v>8</v>
      </c>
    </row>
    <row r="1576" spans="1:10" x14ac:dyDescent="0.25">
      <c r="A1576" t="s">
        <v>329</v>
      </c>
      <c r="B1576" s="1">
        <f t="shared" si="96"/>
        <v>45241</v>
      </c>
      <c r="C1576" s="1" t="str">
        <f t="shared" si="97"/>
        <v>Saturday</v>
      </c>
      <c r="D1576" s="1" t="str">
        <f t="shared" si="98"/>
        <v>November</v>
      </c>
      <c r="E1576" s="1" t="str">
        <f t="shared" si="99"/>
        <v>2023</v>
      </c>
      <c r="F1576" t="s">
        <v>16</v>
      </c>
      <c r="G1576" s="5">
        <v>168.74453497299999</v>
      </c>
      <c r="H1576" s="10">
        <v>18</v>
      </c>
      <c r="I1576" s="2">
        <v>422.345506504637</v>
      </c>
      <c r="J1576" t="s">
        <v>8</v>
      </c>
    </row>
    <row r="1577" spans="1:10" x14ac:dyDescent="0.25">
      <c r="A1577" t="s">
        <v>330</v>
      </c>
      <c r="B1577" s="1">
        <f t="shared" si="96"/>
        <v>45242</v>
      </c>
      <c r="C1577" s="1" t="str">
        <f t="shared" si="97"/>
        <v>Sunday</v>
      </c>
      <c r="D1577" s="1" t="str">
        <f t="shared" si="98"/>
        <v>November</v>
      </c>
      <c r="E1577" s="1" t="str">
        <f t="shared" si="99"/>
        <v>2023</v>
      </c>
      <c r="F1577" t="s">
        <v>7</v>
      </c>
      <c r="G1577" s="5">
        <v>986.57632460000002</v>
      </c>
      <c r="H1577" s="10">
        <v>10</v>
      </c>
      <c r="I1577" s="2">
        <v>115.067919514057</v>
      </c>
      <c r="J1577" t="s">
        <v>10</v>
      </c>
    </row>
    <row r="1578" spans="1:10" x14ac:dyDescent="0.25">
      <c r="A1578" t="s">
        <v>330</v>
      </c>
      <c r="B1578" s="1">
        <f t="shared" si="96"/>
        <v>45242</v>
      </c>
      <c r="C1578" s="1" t="str">
        <f t="shared" si="97"/>
        <v>Sunday</v>
      </c>
      <c r="D1578" s="1" t="str">
        <f t="shared" si="98"/>
        <v>November</v>
      </c>
      <c r="E1578" s="1" t="str">
        <f t="shared" si="99"/>
        <v>2023</v>
      </c>
      <c r="F1578" t="s">
        <v>9</v>
      </c>
      <c r="G1578" s="5">
        <v>194.28482652190999</v>
      </c>
      <c r="H1578" s="10">
        <v>7</v>
      </c>
      <c r="I1578" s="2">
        <v>397.90817881775303</v>
      </c>
      <c r="J1578" t="s">
        <v>8</v>
      </c>
    </row>
    <row r="1579" spans="1:10" x14ac:dyDescent="0.25">
      <c r="A1579" t="s">
        <v>330</v>
      </c>
      <c r="B1579" s="1">
        <f t="shared" si="96"/>
        <v>45242</v>
      </c>
      <c r="C1579" s="1" t="str">
        <f t="shared" si="97"/>
        <v>Sunday</v>
      </c>
      <c r="D1579" s="1" t="str">
        <f t="shared" si="98"/>
        <v>November</v>
      </c>
      <c r="E1579" s="1" t="str">
        <f t="shared" si="99"/>
        <v>2023</v>
      </c>
      <c r="F1579" t="s">
        <v>11</v>
      </c>
      <c r="G1579" s="5">
        <v>943.76897467410004</v>
      </c>
      <c r="H1579" s="10">
        <v>5</v>
      </c>
      <c r="I1579" s="2">
        <v>362.58657637239901</v>
      </c>
      <c r="J1579" t="s">
        <v>12</v>
      </c>
    </row>
    <row r="1580" spans="1:10" x14ac:dyDescent="0.25">
      <c r="A1580" t="s">
        <v>330</v>
      </c>
      <c r="B1580" s="1">
        <f t="shared" si="96"/>
        <v>45242</v>
      </c>
      <c r="C1580" s="1" t="str">
        <f t="shared" si="97"/>
        <v>Sunday</v>
      </c>
      <c r="D1580" s="1" t="str">
        <f t="shared" si="98"/>
        <v>November</v>
      </c>
      <c r="E1580" s="1" t="str">
        <f t="shared" si="99"/>
        <v>2023</v>
      </c>
      <c r="F1580" t="s">
        <v>13</v>
      </c>
      <c r="G1580" s="5">
        <v>985.23852514798898</v>
      </c>
      <c r="H1580" s="10">
        <v>4</v>
      </c>
      <c r="I1580" s="2">
        <v>154.749818315754</v>
      </c>
      <c r="J1580" t="s">
        <v>8</v>
      </c>
    </row>
    <row r="1581" spans="1:10" x14ac:dyDescent="0.25">
      <c r="A1581" t="s">
        <v>330</v>
      </c>
      <c r="B1581" s="1">
        <f t="shared" si="96"/>
        <v>45242</v>
      </c>
      <c r="C1581" s="1" t="str">
        <f t="shared" si="97"/>
        <v>Sunday</v>
      </c>
      <c r="D1581" s="1" t="str">
        <f t="shared" si="98"/>
        <v>November</v>
      </c>
      <c r="E1581" s="1" t="str">
        <f t="shared" si="99"/>
        <v>2023</v>
      </c>
      <c r="F1581" t="s">
        <v>16</v>
      </c>
      <c r="G1581" s="5">
        <v>1146.72516344522</v>
      </c>
      <c r="H1581" s="10">
        <v>1</v>
      </c>
      <c r="I1581" s="2">
        <v>276.037299959922</v>
      </c>
      <c r="J1581" t="s">
        <v>10</v>
      </c>
    </row>
    <row r="1582" spans="1:10" x14ac:dyDescent="0.25">
      <c r="A1582" t="s">
        <v>331</v>
      </c>
      <c r="B1582" s="1">
        <f t="shared" si="96"/>
        <v>45243</v>
      </c>
      <c r="C1582" s="1" t="str">
        <f t="shared" si="97"/>
        <v>Monday</v>
      </c>
      <c r="D1582" s="1" t="str">
        <f t="shared" si="98"/>
        <v>November</v>
      </c>
      <c r="E1582" s="1" t="str">
        <f t="shared" si="99"/>
        <v>2023</v>
      </c>
      <c r="F1582" t="s">
        <v>7</v>
      </c>
      <c r="G1582" s="5">
        <v>827.99848235215995</v>
      </c>
      <c r="H1582" s="10">
        <v>16</v>
      </c>
      <c r="I1582" s="2">
        <v>187.85873344302999</v>
      </c>
      <c r="J1582" t="s">
        <v>8</v>
      </c>
    </row>
    <row r="1583" spans="1:10" x14ac:dyDescent="0.25">
      <c r="A1583" t="s">
        <v>331</v>
      </c>
      <c r="B1583" s="1">
        <f t="shared" si="96"/>
        <v>45243</v>
      </c>
      <c r="C1583" s="1" t="str">
        <f t="shared" si="97"/>
        <v>Monday</v>
      </c>
      <c r="D1583" s="1" t="str">
        <f t="shared" si="98"/>
        <v>November</v>
      </c>
      <c r="E1583" s="1" t="str">
        <f t="shared" si="99"/>
        <v>2023</v>
      </c>
      <c r="F1583" t="s">
        <v>9</v>
      </c>
      <c r="G1583" s="5">
        <v>917.53733239739995</v>
      </c>
      <c r="H1583" s="10">
        <v>5</v>
      </c>
      <c r="I1583" s="2">
        <v>130.602174205865</v>
      </c>
      <c r="J1583" t="s">
        <v>12</v>
      </c>
    </row>
    <row r="1584" spans="1:10" x14ac:dyDescent="0.25">
      <c r="A1584" t="s">
        <v>331</v>
      </c>
      <c r="B1584" s="1">
        <f t="shared" si="96"/>
        <v>45243</v>
      </c>
      <c r="C1584" s="1" t="str">
        <f t="shared" si="97"/>
        <v>Monday</v>
      </c>
      <c r="D1584" s="1" t="str">
        <f t="shared" si="98"/>
        <v>November</v>
      </c>
      <c r="E1584" s="1" t="str">
        <f t="shared" si="99"/>
        <v>2023</v>
      </c>
      <c r="F1584" t="s">
        <v>11</v>
      </c>
      <c r="G1584" s="5">
        <v>155.89172268499999</v>
      </c>
      <c r="H1584" s="10">
        <v>5</v>
      </c>
      <c r="I1584" s="2">
        <v>194.68613271149701</v>
      </c>
      <c r="J1584" t="s">
        <v>14</v>
      </c>
    </row>
    <row r="1585" spans="1:10" x14ac:dyDescent="0.25">
      <c r="A1585" t="s">
        <v>331</v>
      </c>
      <c r="B1585" s="1">
        <f t="shared" si="96"/>
        <v>45243</v>
      </c>
      <c r="C1585" s="1" t="str">
        <f t="shared" si="97"/>
        <v>Monday</v>
      </c>
      <c r="D1585" s="1" t="str">
        <f t="shared" si="98"/>
        <v>November</v>
      </c>
      <c r="E1585" s="1" t="str">
        <f t="shared" si="99"/>
        <v>2023</v>
      </c>
      <c r="F1585" t="s">
        <v>13</v>
      </c>
      <c r="G1585" s="5">
        <v>896.86295876792201</v>
      </c>
      <c r="H1585" s="10">
        <v>4</v>
      </c>
      <c r="I1585" s="2">
        <v>338.22443772065202</v>
      </c>
      <c r="J1585" t="s">
        <v>8</v>
      </c>
    </row>
    <row r="1586" spans="1:10" x14ac:dyDescent="0.25">
      <c r="A1586" t="s">
        <v>331</v>
      </c>
      <c r="B1586" s="1">
        <f t="shared" si="96"/>
        <v>45243</v>
      </c>
      <c r="C1586" s="1" t="str">
        <f t="shared" si="97"/>
        <v>Monday</v>
      </c>
      <c r="D1586" s="1" t="str">
        <f t="shared" si="98"/>
        <v>November</v>
      </c>
      <c r="E1586" s="1" t="str">
        <f t="shared" si="99"/>
        <v>2023</v>
      </c>
      <c r="F1586" t="s">
        <v>16</v>
      </c>
      <c r="G1586" s="5">
        <v>618.28156838433995</v>
      </c>
      <c r="H1586" s="10">
        <v>4</v>
      </c>
      <c r="I1586" s="2">
        <v>188.453035329785</v>
      </c>
      <c r="J1586" t="s">
        <v>10</v>
      </c>
    </row>
    <row r="1587" spans="1:10" x14ac:dyDescent="0.25">
      <c r="A1587" t="s">
        <v>332</v>
      </c>
      <c r="B1587" s="1">
        <f t="shared" si="96"/>
        <v>45244</v>
      </c>
      <c r="C1587" s="1" t="str">
        <f t="shared" si="97"/>
        <v>Tuesday</v>
      </c>
      <c r="D1587" s="1" t="str">
        <f t="shared" si="98"/>
        <v>November</v>
      </c>
      <c r="E1587" s="1" t="str">
        <f t="shared" si="99"/>
        <v>2023</v>
      </c>
      <c r="F1587" t="s">
        <v>7</v>
      </c>
      <c r="G1587" s="5">
        <v>81.837712785950004</v>
      </c>
      <c r="H1587" s="10">
        <v>15</v>
      </c>
      <c r="I1587" s="2">
        <v>145.813163426264</v>
      </c>
      <c r="J1587" t="s">
        <v>12</v>
      </c>
    </row>
    <row r="1588" spans="1:10" x14ac:dyDescent="0.25">
      <c r="A1588" t="s">
        <v>332</v>
      </c>
      <c r="B1588" s="1">
        <f t="shared" si="96"/>
        <v>45244</v>
      </c>
      <c r="C1588" s="1" t="str">
        <f t="shared" si="97"/>
        <v>Tuesday</v>
      </c>
      <c r="D1588" s="1" t="str">
        <f t="shared" si="98"/>
        <v>November</v>
      </c>
      <c r="E1588" s="1" t="str">
        <f t="shared" si="99"/>
        <v>2023</v>
      </c>
      <c r="F1588" t="s">
        <v>9</v>
      </c>
      <c r="G1588" s="5">
        <v>921.76946123179005</v>
      </c>
      <c r="H1588" s="10">
        <v>19</v>
      </c>
      <c r="I1588" s="2">
        <v>322.35859356563202</v>
      </c>
      <c r="J1588" t="s">
        <v>12</v>
      </c>
    </row>
    <row r="1589" spans="1:10" x14ac:dyDescent="0.25">
      <c r="A1589" t="s">
        <v>332</v>
      </c>
      <c r="B1589" s="1">
        <f t="shared" si="96"/>
        <v>45244</v>
      </c>
      <c r="C1589" s="1" t="str">
        <f t="shared" si="97"/>
        <v>Tuesday</v>
      </c>
      <c r="D1589" s="1" t="str">
        <f t="shared" si="98"/>
        <v>November</v>
      </c>
      <c r="E1589" s="1" t="str">
        <f t="shared" si="99"/>
        <v>2023</v>
      </c>
      <c r="F1589" t="s">
        <v>11</v>
      </c>
      <c r="G1589" s="5">
        <v>628.43143289599004</v>
      </c>
      <c r="H1589" s="10">
        <v>17</v>
      </c>
      <c r="I1589" s="2">
        <v>93.689554888670301</v>
      </c>
      <c r="J1589" t="s">
        <v>14</v>
      </c>
    </row>
    <row r="1590" spans="1:10" x14ac:dyDescent="0.25">
      <c r="A1590" t="s">
        <v>332</v>
      </c>
      <c r="B1590" s="1">
        <f t="shared" si="96"/>
        <v>45244</v>
      </c>
      <c r="C1590" s="1" t="str">
        <f t="shared" si="97"/>
        <v>Tuesday</v>
      </c>
      <c r="D1590" s="1" t="str">
        <f t="shared" si="98"/>
        <v>November</v>
      </c>
      <c r="E1590" s="1" t="str">
        <f t="shared" si="99"/>
        <v>2023</v>
      </c>
      <c r="F1590" t="s">
        <v>13</v>
      </c>
      <c r="G1590" s="5">
        <v>995.69887851999999</v>
      </c>
      <c r="H1590" s="10">
        <v>1</v>
      </c>
      <c r="I1590" s="2">
        <v>393.97803830596598</v>
      </c>
      <c r="J1590" t="s">
        <v>10</v>
      </c>
    </row>
    <row r="1591" spans="1:10" x14ac:dyDescent="0.25">
      <c r="A1591" t="s">
        <v>332</v>
      </c>
      <c r="B1591" s="1">
        <f t="shared" si="96"/>
        <v>45244</v>
      </c>
      <c r="C1591" s="1" t="str">
        <f t="shared" si="97"/>
        <v>Tuesday</v>
      </c>
      <c r="D1591" s="1" t="str">
        <f t="shared" si="98"/>
        <v>November</v>
      </c>
      <c r="E1591" s="1" t="str">
        <f t="shared" si="99"/>
        <v>2023</v>
      </c>
      <c r="F1591" t="s">
        <v>16</v>
      </c>
      <c r="G1591" s="5">
        <v>935.67644150000001</v>
      </c>
      <c r="H1591" s="10">
        <v>15</v>
      </c>
      <c r="I1591" s="2">
        <v>342.56314372036098</v>
      </c>
      <c r="J1591" t="s">
        <v>12</v>
      </c>
    </row>
    <row r="1592" spans="1:10" x14ac:dyDescent="0.25">
      <c r="A1592" t="s">
        <v>333</v>
      </c>
      <c r="B1592" s="1">
        <f t="shared" si="96"/>
        <v>45245</v>
      </c>
      <c r="C1592" s="1" t="str">
        <f t="shared" si="97"/>
        <v>Wednesday</v>
      </c>
      <c r="D1592" s="1" t="str">
        <f t="shared" si="98"/>
        <v>November</v>
      </c>
      <c r="E1592" s="1" t="str">
        <f t="shared" si="99"/>
        <v>2023</v>
      </c>
      <c r="F1592" t="s">
        <v>7</v>
      </c>
      <c r="G1592" s="5">
        <v>165.493568928</v>
      </c>
      <c r="H1592" s="10">
        <v>5</v>
      </c>
      <c r="I1592" s="2">
        <v>367.56742164873498</v>
      </c>
      <c r="J1592" t="s">
        <v>14</v>
      </c>
    </row>
    <row r="1593" spans="1:10" x14ac:dyDescent="0.25">
      <c r="A1593" t="s">
        <v>333</v>
      </c>
      <c r="B1593" s="1">
        <f t="shared" si="96"/>
        <v>45245</v>
      </c>
      <c r="C1593" s="1" t="str">
        <f t="shared" si="97"/>
        <v>Wednesday</v>
      </c>
      <c r="D1593" s="1" t="str">
        <f t="shared" si="98"/>
        <v>November</v>
      </c>
      <c r="E1593" s="1" t="str">
        <f t="shared" si="99"/>
        <v>2023</v>
      </c>
      <c r="F1593" t="s">
        <v>9</v>
      </c>
      <c r="G1593" s="5">
        <v>98.994979756858996</v>
      </c>
      <c r="H1593" s="10">
        <v>12</v>
      </c>
      <c r="I1593" s="2">
        <v>224.314198657628</v>
      </c>
      <c r="J1593" t="s">
        <v>12</v>
      </c>
    </row>
    <row r="1594" spans="1:10" x14ac:dyDescent="0.25">
      <c r="A1594" t="s">
        <v>333</v>
      </c>
      <c r="B1594" s="1">
        <f t="shared" si="96"/>
        <v>45245</v>
      </c>
      <c r="C1594" s="1" t="str">
        <f t="shared" si="97"/>
        <v>Wednesday</v>
      </c>
      <c r="D1594" s="1" t="str">
        <f t="shared" si="98"/>
        <v>November</v>
      </c>
      <c r="E1594" s="1" t="str">
        <f t="shared" si="99"/>
        <v>2023</v>
      </c>
      <c r="F1594" t="s">
        <v>11</v>
      </c>
      <c r="G1594" s="5">
        <v>453.67417921165099</v>
      </c>
      <c r="H1594" s="10">
        <v>17</v>
      </c>
      <c r="I1594" s="2">
        <v>58.752383395787298</v>
      </c>
      <c r="J1594" t="s">
        <v>14</v>
      </c>
    </row>
    <row r="1595" spans="1:10" x14ac:dyDescent="0.25">
      <c r="A1595" t="s">
        <v>333</v>
      </c>
      <c r="B1595" s="1">
        <f t="shared" si="96"/>
        <v>45245</v>
      </c>
      <c r="C1595" s="1" t="str">
        <f t="shared" si="97"/>
        <v>Wednesday</v>
      </c>
      <c r="D1595" s="1" t="str">
        <f t="shared" si="98"/>
        <v>November</v>
      </c>
      <c r="E1595" s="1" t="str">
        <f t="shared" si="99"/>
        <v>2023</v>
      </c>
      <c r="F1595" t="s">
        <v>13</v>
      </c>
      <c r="G1595" s="5">
        <v>82.699695235419995</v>
      </c>
      <c r="H1595" s="10">
        <v>10</v>
      </c>
      <c r="I1595" s="2">
        <v>313.62969869939099</v>
      </c>
      <c r="J1595" t="s">
        <v>8</v>
      </c>
    </row>
    <row r="1596" spans="1:10" x14ac:dyDescent="0.25">
      <c r="A1596" t="s">
        <v>333</v>
      </c>
      <c r="B1596" s="1">
        <f t="shared" si="96"/>
        <v>45245</v>
      </c>
      <c r="C1596" s="1" t="str">
        <f t="shared" si="97"/>
        <v>Wednesday</v>
      </c>
      <c r="D1596" s="1" t="str">
        <f t="shared" si="98"/>
        <v>November</v>
      </c>
      <c r="E1596" s="1" t="str">
        <f t="shared" si="99"/>
        <v>2023</v>
      </c>
      <c r="F1596" t="s">
        <v>16</v>
      </c>
      <c r="G1596" s="5">
        <v>1111.6356698252</v>
      </c>
      <c r="H1596" s="10">
        <v>1</v>
      </c>
      <c r="I1596" s="2">
        <v>269.12501620467901</v>
      </c>
      <c r="J1596" t="s">
        <v>12</v>
      </c>
    </row>
    <row r="1597" spans="1:10" x14ac:dyDescent="0.25">
      <c r="A1597" t="s">
        <v>334</v>
      </c>
      <c r="B1597" s="1">
        <f t="shared" si="96"/>
        <v>45246</v>
      </c>
      <c r="C1597" s="1" t="str">
        <f t="shared" si="97"/>
        <v>Thursday</v>
      </c>
      <c r="D1597" s="1" t="str">
        <f t="shared" si="98"/>
        <v>November</v>
      </c>
      <c r="E1597" s="1" t="str">
        <f t="shared" si="99"/>
        <v>2023</v>
      </c>
      <c r="F1597" t="s">
        <v>7</v>
      </c>
      <c r="G1597" s="5">
        <v>1175.2942499359001</v>
      </c>
      <c r="H1597" s="10">
        <v>9</v>
      </c>
      <c r="I1597" s="2">
        <v>213.23276520426001</v>
      </c>
      <c r="J1597" t="s">
        <v>8</v>
      </c>
    </row>
    <row r="1598" spans="1:10" x14ac:dyDescent="0.25">
      <c r="A1598" t="s">
        <v>334</v>
      </c>
      <c r="B1598" s="1">
        <f t="shared" si="96"/>
        <v>45246</v>
      </c>
      <c r="C1598" s="1" t="str">
        <f t="shared" si="97"/>
        <v>Thursday</v>
      </c>
      <c r="D1598" s="1" t="str">
        <f t="shared" si="98"/>
        <v>November</v>
      </c>
      <c r="E1598" s="1" t="str">
        <f t="shared" si="99"/>
        <v>2023</v>
      </c>
      <c r="F1598" t="s">
        <v>9</v>
      </c>
      <c r="G1598" s="5">
        <v>1417.9543773846999</v>
      </c>
      <c r="H1598" s="10">
        <v>15</v>
      </c>
      <c r="I1598" s="2">
        <v>276.09888513491802</v>
      </c>
      <c r="J1598" t="s">
        <v>12</v>
      </c>
    </row>
    <row r="1599" spans="1:10" x14ac:dyDescent="0.25">
      <c r="A1599" t="s">
        <v>334</v>
      </c>
      <c r="B1599" s="1">
        <f t="shared" si="96"/>
        <v>45246</v>
      </c>
      <c r="C1599" s="1" t="str">
        <f t="shared" si="97"/>
        <v>Thursday</v>
      </c>
      <c r="D1599" s="1" t="str">
        <f t="shared" si="98"/>
        <v>November</v>
      </c>
      <c r="E1599" s="1" t="str">
        <f t="shared" si="99"/>
        <v>2023</v>
      </c>
      <c r="F1599" t="s">
        <v>11</v>
      </c>
      <c r="G1599" s="5">
        <v>1251.8473426948001</v>
      </c>
      <c r="H1599" s="10">
        <v>15</v>
      </c>
      <c r="I1599" s="2">
        <v>266.12918468026299</v>
      </c>
      <c r="J1599" t="s">
        <v>12</v>
      </c>
    </row>
    <row r="1600" spans="1:10" x14ac:dyDescent="0.25">
      <c r="A1600" t="s">
        <v>334</v>
      </c>
      <c r="B1600" s="1">
        <f t="shared" si="96"/>
        <v>45246</v>
      </c>
      <c r="C1600" s="1" t="str">
        <f t="shared" si="97"/>
        <v>Thursday</v>
      </c>
      <c r="D1600" s="1" t="str">
        <f t="shared" si="98"/>
        <v>November</v>
      </c>
      <c r="E1600" s="1" t="str">
        <f t="shared" si="99"/>
        <v>2023</v>
      </c>
      <c r="F1600" t="s">
        <v>13</v>
      </c>
      <c r="G1600" s="5">
        <v>728.78255951619997</v>
      </c>
      <c r="H1600" s="10">
        <v>7</v>
      </c>
      <c r="I1600" s="2">
        <v>124.251599950542</v>
      </c>
      <c r="J1600" t="s">
        <v>12</v>
      </c>
    </row>
    <row r="1601" spans="1:10" x14ac:dyDescent="0.25">
      <c r="A1601" t="s">
        <v>334</v>
      </c>
      <c r="B1601" s="1">
        <f t="shared" si="96"/>
        <v>45246</v>
      </c>
      <c r="C1601" s="1" t="str">
        <f t="shared" si="97"/>
        <v>Thursday</v>
      </c>
      <c r="D1601" s="1" t="str">
        <f t="shared" si="98"/>
        <v>November</v>
      </c>
      <c r="E1601" s="1" t="str">
        <f t="shared" si="99"/>
        <v>2023</v>
      </c>
      <c r="F1601" t="s">
        <v>16</v>
      </c>
      <c r="G1601" s="5">
        <v>971.65535756653003</v>
      </c>
      <c r="H1601" s="10">
        <v>3</v>
      </c>
      <c r="I1601" s="2">
        <v>215.27911661389101</v>
      </c>
      <c r="J1601" t="s">
        <v>12</v>
      </c>
    </row>
    <row r="1602" spans="1:10" x14ac:dyDescent="0.25">
      <c r="A1602" t="s">
        <v>335</v>
      </c>
      <c r="B1602" s="1">
        <f t="shared" si="96"/>
        <v>45247</v>
      </c>
      <c r="C1602" s="1" t="str">
        <f t="shared" si="97"/>
        <v>Friday</v>
      </c>
      <c r="D1602" s="1" t="str">
        <f t="shared" si="98"/>
        <v>November</v>
      </c>
      <c r="E1602" s="1" t="str">
        <f t="shared" si="99"/>
        <v>2023</v>
      </c>
      <c r="F1602" t="s">
        <v>7</v>
      </c>
      <c r="G1602" s="5">
        <v>1245.6411327211699</v>
      </c>
      <c r="H1602" s="10">
        <v>16</v>
      </c>
      <c r="I1602" s="2">
        <v>498.01366535174998</v>
      </c>
      <c r="J1602" t="s">
        <v>12</v>
      </c>
    </row>
    <row r="1603" spans="1:10" x14ac:dyDescent="0.25">
      <c r="A1603" t="s">
        <v>335</v>
      </c>
      <c r="B1603" s="1">
        <f t="shared" ref="B1603:B1666" si="100">DATE(VALUE(RIGHT(A1603,4)),VALUE(LEFT(A1603,FIND("/",A1603)-1)),VALUE(MID(A1603,FIND("/",A1603)+1,FIND("/",A1603,FIND("/",A1603)+1)-FIND("/",A1603)-1)))</f>
        <v>45247</v>
      </c>
      <c r="C1603" s="1" t="str">
        <f t="shared" ref="C1603:C1666" si="101">TEXT(B1603,"DDDD")</f>
        <v>Friday</v>
      </c>
      <c r="D1603" s="1" t="str">
        <f t="shared" ref="D1603:D1666" si="102">TEXT(B1603,"MMMM")</f>
        <v>November</v>
      </c>
      <c r="E1603" s="1" t="str">
        <f t="shared" ref="E1603:E1666" si="103">TEXT(B1603,"YYYY")</f>
        <v>2023</v>
      </c>
      <c r="F1603" t="s">
        <v>9</v>
      </c>
      <c r="G1603" s="5">
        <v>147.38728834279999</v>
      </c>
      <c r="H1603" s="10">
        <v>13</v>
      </c>
      <c r="I1603" s="2">
        <v>188.05966655288199</v>
      </c>
      <c r="J1603" t="s">
        <v>12</v>
      </c>
    </row>
    <row r="1604" spans="1:10" x14ac:dyDescent="0.25">
      <c r="A1604" t="s">
        <v>335</v>
      </c>
      <c r="B1604" s="1">
        <f t="shared" si="100"/>
        <v>45247</v>
      </c>
      <c r="C1604" s="1" t="str">
        <f t="shared" si="101"/>
        <v>Friday</v>
      </c>
      <c r="D1604" s="1" t="str">
        <f t="shared" si="102"/>
        <v>November</v>
      </c>
      <c r="E1604" s="1" t="str">
        <f t="shared" si="103"/>
        <v>2023</v>
      </c>
      <c r="F1604" t="s">
        <v>11</v>
      </c>
      <c r="G1604" s="5">
        <v>666.44853287894102</v>
      </c>
      <c r="H1604" s="10">
        <v>8</v>
      </c>
      <c r="I1604" s="2">
        <v>167.18704905842699</v>
      </c>
      <c r="J1604" t="s">
        <v>14</v>
      </c>
    </row>
    <row r="1605" spans="1:10" x14ac:dyDescent="0.25">
      <c r="A1605" t="s">
        <v>335</v>
      </c>
      <c r="B1605" s="1">
        <f t="shared" si="100"/>
        <v>45247</v>
      </c>
      <c r="C1605" s="1" t="str">
        <f t="shared" si="101"/>
        <v>Friday</v>
      </c>
      <c r="D1605" s="1" t="str">
        <f t="shared" si="102"/>
        <v>November</v>
      </c>
      <c r="E1605" s="1" t="str">
        <f t="shared" si="103"/>
        <v>2023</v>
      </c>
      <c r="F1605" t="s">
        <v>13</v>
      </c>
      <c r="G1605" s="5">
        <v>1226.7556194399999</v>
      </c>
      <c r="H1605" s="10">
        <v>5</v>
      </c>
      <c r="I1605" s="2">
        <v>172.62590966900899</v>
      </c>
      <c r="J1605" t="s">
        <v>10</v>
      </c>
    </row>
    <row r="1606" spans="1:10" x14ac:dyDescent="0.25">
      <c r="A1606" t="s">
        <v>335</v>
      </c>
      <c r="B1606" s="1">
        <f t="shared" si="100"/>
        <v>45247</v>
      </c>
      <c r="C1606" s="1" t="str">
        <f t="shared" si="101"/>
        <v>Friday</v>
      </c>
      <c r="D1606" s="1" t="str">
        <f t="shared" si="102"/>
        <v>November</v>
      </c>
      <c r="E1606" s="1" t="str">
        <f t="shared" si="103"/>
        <v>2023</v>
      </c>
      <c r="F1606" t="s">
        <v>16</v>
      </c>
      <c r="G1606" s="5">
        <v>847.85567716835101</v>
      </c>
      <c r="H1606" s="10">
        <v>1</v>
      </c>
      <c r="I1606" s="2">
        <v>160.945846588775</v>
      </c>
      <c r="J1606" t="s">
        <v>12</v>
      </c>
    </row>
    <row r="1607" spans="1:10" x14ac:dyDescent="0.25">
      <c r="A1607" t="s">
        <v>336</v>
      </c>
      <c r="B1607" s="1">
        <f t="shared" si="100"/>
        <v>45248</v>
      </c>
      <c r="C1607" s="1" t="str">
        <f t="shared" si="101"/>
        <v>Saturday</v>
      </c>
      <c r="D1607" s="1" t="str">
        <f t="shared" si="102"/>
        <v>November</v>
      </c>
      <c r="E1607" s="1" t="str">
        <f t="shared" si="103"/>
        <v>2023</v>
      </c>
      <c r="F1607" t="s">
        <v>7</v>
      </c>
      <c r="G1607" s="5">
        <v>945.94793339475996</v>
      </c>
      <c r="H1607" s="10">
        <v>18</v>
      </c>
      <c r="I1607" s="2">
        <v>171.704003618402</v>
      </c>
      <c r="J1607" t="s">
        <v>10</v>
      </c>
    </row>
    <row r="1608" spans="1:10" x14ac:dyDescent="0.25">
      <c r="A1608" t="s">
        <v>336</v>
      </c>
      <c r="B1608" s="1">
        <f t="shared" si="100"/>
        <v>45248</v>
      </c>
      <c r="C1608" s="1" t="str">
        <f t="shared" si="101"/>
        <v>Saturday</v>
      </c>
      <c r="D1608" s="1" t="str">
        <f t="shared" si="102"/>
        <v>November</v>
      </c>
      <c r="E1608" s="1" t="str">
        <f t="shared" si="103"/>
        <v>2023</v>
      </c>
      <c r="F1608" t="s">
        <v>9</v>
      </c>
      <c r="G1608" s="5">
        <v>83.278771882919997</v>
      </c>
      <c r="H1608" s="10">
        <v>9</v>
      </c>
      <c r="I1608" s="2">
        <v>162.79702696444099</v>
      </c>
      <c r="J1608" t="s">
        <v>12</v>
      </c>
    </row>
    <row r="1609" spans="1:10" x14ac:dyDescent="0.25">
      <c r="A1609" t="s">
        <v>336</v>
      </c>
      <c r="B1609" s="1">
        <f t="shared" si="100"/>
        <v>45248</v>
      </c>
      <c r="C1609" s="1" t="str">
        <f t="shared" si="101"/>
        <v>Saturday</v>
      </c>
      <c r="D1609" s="1" t="str">
        <f t="shared" si="102"/>
        <v>November</v>
      </c>
      <c r="E1609" s="1" t="str">
        <f t="shared" si="103"/>
        <v>2023</v>
      </c>
      <c r="F1609" t="s">
        <v>11</v>
      </c>
      <c r="G1609" s="5">
        <v>756.49566992620998</v>
      </c>
      <c r="H1609" s="10">
        <v>3</v>
      </c>
      <c r="I1609" s="2">
        <v>218.555440956952</v>
      </c>
      <c r="J1609" t="s">
        <v>8</v>
      </c>
    </row>
    <row r="1610" spans="1:10" x14ac:dyDescent="0.25">
      <c r="A1610" t="s">
        <v>336</v>
      </c>
      <c r="B1610" s="1">
        <f t="shared" si="100"/>
        <v>45248</v>
      </c>
      <c r="C1610" s="1" t="str">
        <f t="shared" si="101"/>
        <v>Saturday</v>
      </c>
      <c r="D1610" s="1" t="str">
        <f t="shared" si="102"/>
        <v>November</v>
      </c>
      <c r="E1610" s="1" t="str">
        <f t="shared" si="103"/>
        <v>2023</v>
      </c>
      <c r="F1610" t="s">
        <v>13</v>
      </c>
      <c r="G1610" s="5">
        <v>116.55492782420001</v>
      </c>
      <c r="H1610" s="10">
        <v>3</v>
      </c>
      <c r="I1610" s="2">
        <v>401.84606593832802</v>
      </c>
      <c r="J1610" t="s">
        <v>8</v>
      </c>
    </row>
    <row r="1611" spans="1:10" x14ac:dyDescent="0.25">
      <c r="A1611" t="s">
        <v>336</v>
      </c>
      <c r="B1611" s="1">
        <f t="shared" si="100"/>
        <v>45248</v>
      </c>
      <c r="C1611" s="1" t="str">
        <f t="shared" si="101"/>
        <v>Saturday</v>
      </c>
      <c r="D1611" s="1" t="str">
        <f t="shared" si="102"/>
        <v>November</v>
      </c>
      <c r="E1611" s="1" t="str">
        <f t="shared" si="103"/>
        <v>2023</v>
      </c>
      <c r="F1611" t="s">
        <v>16</v>
      </c>
      <c r="G1611" s="5">
        <v>182.61324634162</v>
      </c>
      <c r="H1611" s="10">
        <v>2</v>
      </c>
      <c r="I1611" s="2">
        <v>131.01851407665501</v>
      </c>
      <c r="J1611" t="s">
        <v>8</v>
      </c>
    </row>
    <row r="1612" spans="1:10" x14ac:dyDescent="0.25">
      <c r="A1612" t="s">
        <v>337</v>
      </c>
      <c r="B1612" s="1">
        <f t="shared" si="100"/>
        <v>45249</v>
      </c>
      <c r="C1612" s="1" t="str">
        <f t="shared" si="101"/>
        <v>Sunday</v>
      </c>
      <c r="D1612" s="1" t="str">
        <f t="shared" si="102"/>
        <v>November</v>
      </c>
      <c r="E1612" s="1" t="str">
        <f t="shared" si="103"/>
        <v>2023</v>
      </c>
      <c r="F1612" t="s">
        <v>7</v>
      </c>
      <c r="G1612" s="5">
        <v>1378.82274494429</v>
      </c>
      <c r="H1612" s="10">
        <v>15</v>
      </c>
      <c r="I1612" s="2">
        <v>522.06231344355103</v>
      </c>
      <c r="J1612" t="s">
        <v>12</v>
      </c>
    </row>
    <row r="1613" spans="1:10" x14ac:dyDescent="0.25">
      <c r="A1613" t="s">
        <v>337</v>
      </c>
      <c r="B1613" s="1">
        <f t="shared" si="100"/>
        <v>45249</v>
      </c>
      <c r="C1613" s="1" t="str">
        <f t="shared" si="101"/>
        <v>Sunday</v>
      </c>
      <c r="D1613" s="1" t="str">
        <f t="shared" si="102"/>
        <v>November</v>
      </c>
      <c r="E1613" s="1" t="str">
        <f t="shared" si="103"/>
        <v>2023</v>
      </c>
      <c r="F1613" t="s">
        <v>9</v>
      </c>
      <c r="G1613" s="5">
        <v>1263.3686636617999</v>
      </c>
      <c r="H1613" s="10">
        <v>13</v>
      </c>
      <c r="I1613" s="2">
        <v>445.705052840321</v>
      </c>
      <c r="J1613" t="s">
        <v>12</v>
      </c>
    </row>
    <row r="1614" spans="1:10" x14ac:dyDescent="0.25">
      <c r="A1614" t="s">
        <v>337</v>
      </c>
      <c r="B1614" s="1">
        <f t="shared" si="100"/>
        <v>45249</v>
      </c>
      <c r="C1614" s="1" t="str">
        <f t="shared" si="101"/>
        <v>Sunday</v>
      </c>
      <c r="D1614" s="1" t="str">
        <f t="shared" si="102"/>
        <v>November</v>
      </c>
      <c r="E1614" s="1" t="str">
        <f t="shared" si="103"/>
        <v>2023</v>
      </c>
      <c r="F1614" t="s">
        <v>11</v>
      </c>
      <c r="G1614" s="5">
        <v>147.64958191866</v>
      </c>
      <c r="H1614" s="10">
        <v>11</v>
      </c>
      <c r="I1614" s="2">
        <v>218.164532572501</v>
      </c>
      <c r="J1614" t="s">
        <v>12</v>
      </c>
    </row>
    <row r="1615" spans="1:10" x14ac:dyDescent="0.25">
      <c r="A1615" t="s">
        <v>337</v>
      </c>
      <c r="B1615" s="1">
        <f t="shared" si="100"/>
        <v>45249</v>
      </c>
      <c r="C1615" s="1" t="str">
        <f t="shared" si="101"/>
        <v>Sunday</v>
      </c>
      <c r="D1615" s="1" t="str">
        <f t="shared" si="102"/>
        <v>November</v>
      </c>
      <c r="E1615" s="1" t="str">
        <f t="shared" si="103"/>
        <v>2023</v>
      </c>
      <c r="F1615" t="s">
        <v>13</v>
      </c>
      <c r="G1615" s="5">
        <v>812.72397382879103</v>
      </c>
      <c r="H1615" s="10">
        <v>5</v>
      </c>
      <c r="I1615" s="2">
        <v>203.189262656149</v>
      </c>
      <c r="J1615" t="s">
        <v>10</v>
      </c>
    </row>
    <row r="1616" spans="1:10" x14ac:dyDescent="0.25">
      <c r="A1616" t="s">
        <v>337</v>
      </c>
      <c r="B1616" s="1">
        <f t="shared" si="100"/>
        <v>45249</v>
      </c>
      <c r="C1616" s="1" t="str">
        <f t="shared" si="101"/>
        <v>Sunday</v>
      </c>
      <c r="D1616" s="1" t="str">
        <f t="shared" si="102"/>
        <v>November</v>
      </c>
      <c r="E1616" s="1" t="str">
        <f t="shared" si="103"/>
        <v>2023</v>
      </c>
      <c r="F1616" t="s">
        <v>16</v>
      </c>
      <c r="G1616" s="5">
        <v>1163.7361459700001</v>
      </c>
      <c r="H1616" s="10">
        <v>13</v>
      </c>
      <c r="I1616" s="2">
        <v>128.38447720891801</v>
      </c>
      <c r="J1616" t="s">
        <v>8</v>
      </c>
    </row>
    <row r="1617" spans="1:10" x14ac:dyDescent="0.25">
      <c r="A1617" t="s">
        <v>338</v>
      </c>
      <c r="B1617" s="1">
        <f t="shared" si="100"/>
        <v>45250</v>
      </c>
      <c r="C1617" s="1" t="str">
        <f t="shared" si="101"/>
        <v>Monday</v>
      </c>
      <c r="D1617" s="1" t="str">
        <f t="shared" si="102"/>
        <v>November</v>
      </c>
      <c r="E1617" s="1" t="str">
        <f t="shared" si="103"/>
        <v>2023</v>
      </c>
      <c r="F1617" t="s">
        <v>7</v>
      </c>
      <c r="G1617" s="5">
        <v>348.52857857186501</v>
      </c>
      <c r="H1617" s="10">
        <v>6</v>
      </c>
      <c r="I1617" s="2">
        <v>118.122335819927</v>
      </c>
      <c r="J1617" t="s">
        <v>12</v>
      </c>
    </row>
    <row r="1618" spans="1:10" x14ac:dyDescent="0.25">
      <c r="A1618" t="s">
        <v>338</v>
      </c>
      <c r="B1618" s="1">
        <f t="shared" si="100"/>
        <v>45250</v>
      </c>
      <c r="C1618" s="1" t="str">
        <f t="shared" si="101"/>
        <v>Monday</v>
      </c>
      <c r="D1618" s="1" t="str">
        <f t="shared" si="102"/>
        <v>November</v>
      </c>
      <c r="E1618" s="1" t="str">
        <f t="shared" si="103"/>
        <v>2023</v>
      </c>
      <c r="F1618" t="s">
        <v>9</v>
      </c>
      <c r="G1618" s="5">
        <v>76.798732234382996</v>
      </c>
      <c r="H1618" s="10">
        <v>2</v>
      </c>
      <c r="I1618" s="2">
        <v>159.181593459688</v>
      </c>
      <c r="J1618" t="s">
        <v>8</v>
      </c>
    </row>
    <row r="1619" spans="1:10" x14ac:dyDescent="0.25">
      <c r="A1619" t="s">
        <v>338</v>
      </c>
      <c r="B1619" s="1">
        <f t="shared" si="100"/>
        <v>45250</v>
      </c>
      <c r="C1619" s="1" t="str">
        <f t="shared" si="101"/>
        <v>Monday</v>
      </c>
      <c r="D1619" s="1" t="str">
        <f t="shared" si="102"/>
        <v>November</v>
      </c>
      <c r="E1619" s="1" t="str">
        <f t="shared" si="103"/>
        <v>2023</v>
      </c>
      <c r="F1619" t="s">
        <v>11</v>
      </c>
      <c r="G1619" s="5">
        <v>125.89542151000001</v>
      </c>
      <c r="H1619" s="10">
        <v>4</v>
      </c>
      <c r="I1619" s="2">
        <v>160.19882713620299</v>
      </c>
      <c r="J1619" t="s">
        <v>12</v>
      </c>
    </row>
    <row r="1620" spans="1:10" x14ac:dyDescent="0.25">
      <c r="A1620" t="s">
        <v>338</v>
      </c>
      <c r="B1620" s="1">
        <f t="shared" si="100"/>
        <v>45250</v>
      </c>
      <c r="C1620" s="1" t="str">
        <f t="shared" si="101"/>
        <v>Monday</v>
      </c>
      <c r="D1620" s="1" t="str">
        <f t="shared" si="102"/>
        <v>November</v>
      </c>
      <c r="E1620" s="1" t="str">
        <f t="shared" si="103"/>
        <v>2023</v>
      </c>
      <c r="F1620" t="s">
        <v>13</v>
      </c>
      <c r="G1620" s="5">
        <v>598.44198767148998</v>
      </c>
      <c r="H1620" s="10">
        <v>18</v>
      </c>
      <c r="I1620" s="2">
        <v>121.83025924622601</v>
      </c>
      <c r="J1620" t="s">
        <v>8</v>
      </c>
    </row>
    <row r="1621" spans="1:10" x14ac:dyDescent="0.25">
      <c r="A1621" t="s">
        <v>338</v>
      </c>
      <c r="B1621" s="1">
        <f t="shared" si="100"/>
        <v>45250</v>
      </c>
      <c r="C1621" s="1" t="str">
        <f t="shared" si="101"/>
        <v>Monday</v>
      </c>
      <c r="D1621" s="1" t="str">
        <f t="shared" si="102"/>
        <v>November</v>
      </c>
      <c r="E1621" s="1" t="str">
        <f t="shared" si="103"/>
        <v>2023</v>
      </c>
      <c r="F1621" t="s">
        <v>16</v>
      </c>
      <c r="G1621" s="5">
        <v>1258.9656937522</v>
      </c>
      <c r="H1621" s="10">
        <v>8</v>
      </c>
      <c r="I1621" s="2">
        <v>459.00965939999998</v>
      </c>
      <c r="J1621" t="s">
        <v>10</v>
      </c>
    </row>
    <row r="1622" spans="1:10" x14ac:dyDescent="0.25">
      <c r="A1622" t="s">
        <v>339</v>
      </c>
      <c r="B1622" s="1">
        <f t="shared" si="100"/>
        <v>45251</v>
      </c>
      <c r="C1622" s="1" t="str">
        <f t="shared" si="101"/>
        <v>Tuesday</v>
      </c>
      <c r="D1622" s="1" t="str">
        <f t="shared" si="102"/>
        <v>November</v>
      </c>
      <c r="E1622" s="1" t="str">
        <f t="shared" si="103"/>
        <v>2023</v>
      </c>
      <c r="F1622" t="s">
        <v>7</v>
      </c>
      <c r="G1622" s="5">
        <v>92.313453465837995</v>
      </c>
      <c r="H1622" s="10">
        <v>15</v>
      </c>
      <c r="I1622" s="2">
        <v>97.304520381281804</v>
      </c>
      <c r="J1622" t="s">
        <v>10</v>
      </c>
    </row>
    <row r="1623" spans="1:10" x14ac:dyDescent="0.25">
      <c r="A1623" t="s">
        <v>339</v>
      </c>
      <c r="B1623" s="1">
        <f t="shared" si="100"/>
        <v>45251</v>
      </c>
      <c r="C1623" s="1" t="str">
        <f t="shared" si="101"/>
        <v>Tuesday</v>
      </c>
      <c r="D1623" s="1" t="str">
        <f t="shared" si="102"/>
        <v>November</v>
      </c>
      <c r="E1623" s="1" t="str">
        <f t="shared" si="103"/>
        <v>2023</v>
      </c>
      <c r="F1623" t="s">
        <v>9</v>
      </c>
      <c r="G1623" s="5">
        <v>131.9546755133</v>
      </c>
      <c r="H1623" s="10">
        <v>8</v>
      </c>
      <c r="I1623" s="2">
        <v>379.69971621093498</v>
      </c>
      <c r="J1623" t="s">
        <v>10</v>
      </c>
    </row>
    <row r="1624" spans="1:10" x14ac:dyDescent="0.25">
      <c r="A1624" t="s">
        <v>339</v>
      </c>
      <c r="B1624" s="1">
        <f t="shared" si="100"/>
        <v>45251</v>
      </c>
      <c r="C1624" s="1" t="str">
        <f t="shared" si="101"/>
        <v>Tuesday</v>
      </c>
      <c r="D1624" s="1" t="str">
        <f t="shared" si="102"/>
        <v>November</v>
      </c>
      <c r="E1624" s="1" t="str">
        <f t="shared" si="103"/>
        <v>2023</v>
      </c>
      <c r="F1624" t="s">
        <v>11</v>
      </c>
      <c r="G1624" s="5">
        <v>1343.88272542</v>
      </c>
      <c r="H1624" s="10">
        <v>10</v>
      </c>
      <c r="I1624" s="2">
        <v>436.95706408996801</v>
      </c>
      <c r="J1624" t="s">
        <v>14</v>
      </c>
    </row>
    <row r="1625" spans="1:10" x14ac:dyDescent="0.25">
      <c r="A1625" t="s">
        <v>339</v>
      </c>
      <c r="B1625" s="1">
        <f t="shared" si="100"/>
        <v>45251</v>
      </c>
      <c r="C1625" s="1" t="str">
        <f t="shared" si="101"/>
        <v>Tuesday</v>
      </c>
      <c r="D1625" s="1" t="str">
        <f t="shared" si="102"/>
        <v>November</v>
      </c>
      <c r="E1625" s="1" t="str">
        <f t="shared" si="103"/>
        <v>2023</v>
      </c>
      <c r="F1625" t="s">
        <v>13</v>
      </c>
      <c r="G1625" s="5">
        <v>148.74867587860001</v>
      </c>
      <c r="H1625" s="10">
        <v>9</v>
      </c>
      <c r="I1625" s="2">
        <v>21.368431927739302</v>
      </c>
      <c r="J1625" t="s">
        <v>8</v>
      </c>
    </row>
    <row r="1626" spans="1:10" x14ac:dyDescent="0.25">
      <c r="A1626" t="s">
        <v>339</v>
      </c>
      <c r="B1626" s="1">
        <f t="shared" si="100"/>
        <v>45251</v>
      </c>
      <c r="C1626" s="1" t="str">
        <f t="shared" si="101"/>
        <v>Tuesday</v>
      </c>
      <c r="D1626" s="1" t="str">
        <f t="shared" si="102"/>
        <v>November</v>
      </c>
      <c r="E1626" s="1" t="str">
        <f t="shared" si="103"/>
        <v>2023</v>
      </c>
      <c r="F1626" t="s">
        <v>16</v>
      </c>
      <c r="G1626" s="5">
        <v>733.81162343267999</v>
      </c>
      <c r="H1626" s="10">
        <v>7</v>
      </c>
      <c r="I1626" s="2">
        <v>202.91757469547699</v>
      </c>
      <c r="J1626" t="s">
        <v>14</v>
      </c>
    </row>
    <row r="1627" spans="1:10" x14ac:dyDescent="0.25">
      <c r="A1627" t="s">
        <v>340</v>
      </c>
      <c r="B1627" s="1">
        <f t="shared" si="100"/>
        <v>45252</v>
      </c>
      <c r="C1627" s="1" t="str">
        <f t="shared" si="101"/>
        <v>Wednesday</v>
      </c>
      <c r="D1627" s="1" t="str">
        <f t="shared" si="102"/>
        <v>November</v>
      </c>
      <c r="E1627" s="1" t="str">
        <f t="shared" si="103"/>
        <v>2023</v>
      </c>
      <c r="F1627" t="s">
        <v>7</v>
      </c>
      <c r="G1627" s="5">
        <v>1231.5388531768999</v>
      </c>
      <c r="H1627" s="10">
        <v>8</v>
      </c>
      <c r="I1627" s="2">
        <v>210.61302432358499</v>
      </c>
      <c r="J1627" t="s">
        <v>14</v>
      </c>
    </row>
    <row r="1628" spans="1:10" x14ac:dyDescent="0.25">
      <c r="A1628" t="s">
        <v>340</v>
      </c>
      <c r="B1628" s="1">
        <f t="shared" si="100"/>
        <v>45252</v>
      </c>
      <c r="C1628" s="1" t="str">
        <f t="shared" si="101"/>
        <v>Wednesday</v>
      </c>
      <c r="D1628" s="1" t="str">
        <f t="shared" si="102"/>
        <v>November</v>
      </c>
      <c r="E1628" s="1" t="str">
        <f t="shared" si="103"/>
        <v>2023</v>
      </c>
      <c r="F1628" t="s">
        <v>9</v>
      </c>
      <c r="G1628" s="5">
        <v>139.982252348</v>
      </c>
      <c r="H1628" s="10">
        <v>5</v>
      </c>
      <c r="I1628" s="2">
        <v>184.429641789383</v>
      </c>
      <c r="J1628" t="s">
        <v>8</v>
      </c>
    </row>
    <row r="1629" spans="1:10" x14ac:dyDescent="0.25">
      <c r="A1629" t="s">
        <v>340</v>
      </c>
      <c r="B1629" s="1">
        <f t="shared" si="100"/>
        <v>45252</v>
      </c>
      <c r="C1629" s="1" t="str">
        <f t="shared" si="101"/>
        <v>Wednesday</v>
      </c>
      <c r="D1629" s="1" t="str">
        <f t="shared" si="102"/>
        <v>November</v>
      </c>
      <c r="E1629" s="1" t="str">
        <f t="shared" si="103"/>
        <v>2023</v>
      </c>
      <c r="F1629" t="s">
        <v>11</v>
      </c>
      <c r="G1629" s="5">
        <v>784.71538112860003</v>
      </c>
      <c r="H1629" s="10">
        <v>1</v>
      </c>
      <c r="I1629" s="2">
        <v>205.88692362894599</v>
      </c>
      <c r="J1629" t="s">
        <v>8</v>
      </c>
    </row>
    <row r="1630" spans="1:10" x14ac:dyDescent="0.25">
      <c r="A1630" t="s">
        <v>340</v>
      </c>
      <c r="B1630" s="1">
        <f t="shared" si="100"/>
        <v>45252</v>
      </c>
      <c r="C1630" s="1" t="str">
        <f t="shared" si="101"/>
        <v>Wednesday</v>
      </c>
      <c r="D1630" s="1" t="str">
        <f t="shared" si="102"/>
        <v>November</v>
      </c>
      <c r="E1630" s="1" t="str">
        <f t="shared" si="103"/>
        <v>2023</v>
      </c>
      <c r="F1630" t="s">
        <v>13</v>
      </c>
      <c r="G1630" s="5">
        <v>565.92379591420001</v>
      </c>
      <c r="H1630" s="10">
        <v>16</v>
      </c>
      <c r="I1630" s="2">
        <v>175.788887620541</v>
      </c>
      <c r="J1630" t="s">
        <v>8</v>
      </c>
    </row>
    <row r="1631" spans="1:10" x14ac:dyDescent="0.25">
      <c r="A1631" t="s">
        <v>340</v>
      </c>
      <c r="B1631" s="1">
        <f t="shared" si="100"/>
        <v>45252</v>
      </c>
      <c r="C1631" s="1" t="str">
        <f t="shared" si="101"/>
        <v>Wednesday</v>
      </c>
      <c r="D1631" s="1" t="str">
        <f t="shared" si="102"/>
        <v>November</v>
      </c>
      <c r="E1631" s="1" t="str">
        <f t="shared" si="103"/>
        <v>2023</v>
      </c>
      <c r="F1631" t="s">
        <v>16</v>
      </c>
      <c r="G1631" s="5">
        <v>982.24427677418998</v>
      </c>
      <c r="H1631" s="10">
        <v>16</v>
      </c>
      <c r="I1631" s="2">
        <v>241.400988455538</v>
      </c>
      <c r="J1631" t="s">
        <v>12</v>
      </c>
    </row>
    <row r="1632" spans="1:10" x14ac:dyDescent="0.25">
      <c r="A1632" t="s">
        <v>341</v>
      </c>
      <c r="B1632" s="1">
        <f t="shared" si="100"/>
        <v>45253</v>
      </c>
      <c r="C1632" s="1" t="str">
        <f t="shared" si="101"/>
        <v>Thursday</v>
      </c>
      <c r="D1632" s="1" t="str">
        <f t="shared" si="102"/>
        <v>November</v>
      </c>
      <c r="E1632" s="1" t="str">
        <f t="shared" si="103"/>
        <v>2023</v>
      </c>
      <c r="F1632" t="s">
        <v>7</v>
      </c>
      <c r="G1632" s="5">
        <v>1211.9165296599999</v>
      </c>
      <c r="H1632" s="10">
        <v>18</v>
      </c>
      <c r="I1632" s="2">
        <v>285.21124729836401</v>
      </c>
      <c r="J1632" t="s">
        <v>14</v>
      </c>
    </row>
    <row r="1633" spans="1:10" x14ac:dyDescent="0.25">
      <c r="A1633" t="s">
        <v>341</v>
      </c>
      <c r="B1633" s="1">
        <f t="shared" si="100"/>
        <v>45253</v>
      </c>
      <c r="C1633" s="1" t="str">
        <f t="shared" si="101"/>
        <v>Thursday</v>
      </c>
      <c r="D1633" s="1" t="str">
        <f t="shared" si="102"/>
        <v>November</v>
      </c>
      <c r="E1633" s="1" t="str">
        <f t="shared" si="103"/>
        <v>2023</v>
      </c>
      <c r="F1633" t="s">
        <v>9</v>
      </c>
      <c r="G1633" s="5">
        <v>879.95774746425195</v>
      </c>
      <c r="H1633" s="10">
        <v>18</v>
      </c>
      <c r="I1633" s="2">
        <v>242.754515443635</v>
      </c>
      <c r="J1633" t="s">
        <v>14</v>
      </c>
    </row>
    <row r="1634" spans="1:10" x14ac:dyDescent="0.25">
      <c r="A1634" t="s">
        <v>341</v>
      </c>
      <c r="B1634" s="1">
        <f t="shared" si="100"/>
        <v>45253</v>
      </c>
      <c r="C1634" s="1" t="str">
        <f t="shared" si="101"/>
        <v>Thursday</v>
      </c>
      <c r="D1634" s="1" t="str">
        <f t="shared" si="102"/>
        <v>November</v>
      </c>
      <c r="E1634" s="1" t="str">
        <f t="shared" si="103"/>
        <v>2023</v>
      </c>
      <c r="F1634" t="s">
        <v>11</v>
      </c>
      <c r="G1634" s="5">
        <v>784.33287540000003</v>
      </c>
      <c r="H1634" s="10">
        <v>6</v>
      </c>
      <c r="I1634" s="2">
        <v>274.13797904092303</v>
      </c>
      <c r="J1634" t="s">
        <v>12</v>
      </c>
    </row>
    <row r="1635" spans="1:10" x14ac:dyDescent="0.25">
      <c r="A1635" t="s">
        <v>341</v>
      </c>
      <c r="B1635" s="1">
        <f t="shared" si="100"/>
        <v>45253</v>
      </c>
      <c r="C1635" s="1" t="str">
        <f t="shared" si="101"/>
        <v>Thursday</v>
      </c>
      <c r="D1635" s="1" t="str">
        <f t="shared" si="102"/>
        <v>November</v>
      </c>
      <c r="E1635" s="1" t="str">
        <f t="shared" si="103"/>
        <v>2023</v>
      </c>
      <c r="F1635" t="s">
        <v>13</v>
      </c>
      <c r="G1635" s="5">
        <v>161.22616824900001</v>
      </c>
      <c r="H1635" s="10">
        <v>6</v>
      </c>
      <c r="I1635" s="2">
        <v>261.11170078037298</v>
      </c>
      <c r="J1635" t="s">
        <v>14</v>
      </c>
    </row>
    <row r="1636" spans="1:10" x14ac:dyDescent="0.25">
      <c r="A1636" t="s">
        <v>341</v>
      </c>
      <c r="B1636" s="1">
        <f t="shared" si="100"/>
        <v>45253</v>
      </c>
      <c r="C1636" s="1" t="str">
        <f t="shared" si="101"/>
        <v>Thursday</v>
      </c>
      <c r="D1636" s="1" t="str">
        <f t="shared" si="102"/>
        <v>November</v>
      </c>
      <c r="E1636" s="1" t="str">
        <f t="shared" si="103"/>
        <v>2023</v>
      </c>
      <c r="F1636" t="s">
        <v>16</v>
      </c>
      <c r="G1636" s="5">
        <v>1211.3239941659999</v>
      </c>
      <c r="H1636" s="10">
        <v>16</v>
      </c>
      <c r="I1636" s="2">
        <v>257.64266524673201</v>
      </c>
      <c r="J1636" t="s">
        <v>12</v>
      </c>
    </row>
    <row r="1637" spans="1:10" x14ac:dyDescent="0.25">
      <c r="A1637" t="s">
        <v>342</v>
      </c>
      <c r="B1637" s="1">
        <f t="shared" si="100"/>
        <v>45254</v>
      </c>
      <c r="C1637" s="1" t="str">
        <f t="shared" si="101"/>
        <v>Friday</v>
      </c>
      <c r="D1637" s="1" t="str">
        <f t="shared" si="102"/>
        <v>November</v>
      </c>
      <c r="E1637" s="1" t="str">
        <f t="shared" si="103"/>
        <v>2023</v>
      </c>
      <c r="F1637" t="s">
        <v>7</v>
      </c>
      <c r="G1637" s="5">
        <v>1646.4786321494</v>
      </c>
      <c r="H1637" s="10">
        <v>13</v>
      </c>
      <c r="I1637" s="2">
        <v>391.22230776104499</v>
      </c>
      <c r="J1637" t="s">
        <v>12</v>
      </c>
    </row>
    <row r="1638" spans="1:10" x14ac:dyDescent="0.25">
      <c r="A1638" t="s">
        <v>342</v>
      </c>
      <c r="B1638" s="1">
        <f t="shared" si="100"/>
        <v>45254</v>
      </c>
      <c r="C1638" s="1" t="str">
        <f t="shared" si="101"/>
        <v>Friday</v>
      </c>
      <c r="D1638" s="1" t="str">
        <f t="shared" si="102"/>
        <v>November</v>
      </c>
      <c r="E1638" s="1" t="str">
        <f t="shared" si="103"/>
        <v>2023</v>
      </c>
      <c r="F1638" t="s">
        <v>9</v>
      </c>
      <c r="G1638" s="5">
        <v>792.58461544653301</v>
      </c>
      <c r="H1638" s="10">
        <v>15</v>
      </c>
      <c r="I1638" s="2">
        <v>190.608814802506</v>
      </c>
      <c r="J1638" t="s">
        <v>8</v>
      </c>
    </row>
    <row r="1639" spans="1:10" x14ac:dyDescent="0.25">
      <c r="A1639" t="s">
        <v>342</v>
      </c>
      <c r="B1639" s="1">
        <f t="shared" si="100"/>
        <v>45254</v>
      </c>
      <c r="C1639" s="1" t="str">
        <f t="shared" si="101"/>
        <v>Friday</v>
      </c>
      <c r="D1639" s="1" t="str">
        <f t="shared" si="102"/>
        <v>November</v>
      </c>
      <c r="E1639" s="1" t="str">
        <f t="shared" si="103"/>
        <v>2023</v>
      </c>
      <c r="F1639" t="s">
        <v>11</v>
      </c>
      <c r="G1639" s="5">
        <v>126.2693559824</v>
      </c>
      <c r="H1639" s="10">
        <v>13</v>
      </c>
      <c r="I1639" s="2">
        <v>458.47176507600699</v>
      </c>
      <c r="J1639" t="s">
        <v>12</v>
      </c>
    </row>
    <row r="1640" spans="1:10" x14ac:dyDescent="0.25">
      <c r="A1640" t="s">
        <v>342</v>
      </c>
      <c r="B1640" s="1">
        <f t="shared" si="100"/>
        <v>45254</v>
      </c>
      <c r="C1640" s="1" t="str">
        <f t="shared" si="101"/>
        <v>Friday</v>
      </c>
      <c r="D1640" s="1" t="str">
        <f t="shared" si="102"/>
        <v>November</v>
      </c>
      <c r="E1640" s="1" t="str">
        <f t="shared" si="103"/>
        <v>2023</v>
      </c>
      <c r="F1640" t="s">
        <v>13</v>
      </c>
      <c r="G1640" s="5">
        <v>1167.58795982635</v>
      </c>
      <c r="H1640" s="10">
        <v>10</v>
      </c>
      <c r="I1640" s="2">
        <v>461.63248462583198</v>
      </c>
      <c r="J1640" t="s">
        <v>12</v>
      </c>
    </row>
    <row r="1641" spans="1:10" x14ac:dyDescent="0.25">
      <c r="A1641" t="s">
        <v>342</v>
      </c>
      <c r="B1641" s="1">
        <f t="shared" si="100"/>
        <v>45254</v>
      </c>
      <c r="C1641" s="1" t="str">
        <f t="shared" si="101"/>
        <v>Friday</v>
      </c>
      <c r="D1641" s="1" t="str">
        <f t="shared" si="102"/>
        <v>November</v>
      </c>
      <c r="E1641" s="1" t="str">
        <f t="shared" si="103"/>
        <v>2023</v>
      </c>
      <c r="F1641" t="s">
        <v>16</v>
      </c>
      <c r="G1641" s="5">
        <v>213.33425363771701</v>
      </c>
      <c r="H1641" s="10">
        <v>16</v>
      </c>
      <c r="I1641" s="2">
        <v>61.725089390000001</v>
      </c>
      <c r="J1641" t="s">
        <v>10</v>
      </c>
    </row>
    <row r="1642" spans="1:10" x14ac:dyDescent="0.25">
      <c r="A1642" t="s">
        <v>343</v>
      </c>
      <c r="B1642" s="1">
        <f t="shared" si="100"/>
        <v>45255</v>
      </c>
      <c r="C1642" s="1" t="str">
        <f t="shared" si="101"/>
        <v>Saturday</v>
      </c>
      <c r="D1642" s="1" t="str">
        <f t="shared" si="102"/>
        <v>November</v>
      </c>
      <c r="E1642" s="1" t="str">
        <f t="shared" si="103"/>
        <v>2023</v>
      </c>
      <c r="F1642" t="s">
        <v>7</v>
      </c>
      <c r="G1642" s="5">
        <v>1144.7815421769999</v>
      </c>
      <c r="H1642" s="10">
        <v>11</v>
      </c>
      <c r="I1642" s="2">
        <v>213.74916242235301</v>
      </c>
      <c r="J1642" t="s">
        <v>14</v>
      </c>
    </row>
    <row r="1643" spans="1:10" x14ac:dyDescent="0.25">
      <c r="A1643" t="s">
        <v>343</v>
      </c>
      <c r="B1643" s="1">
        <f t="shared" si="100"/>
        <v>45255</v>
      </c>
      <c r="C1643" s="1" t="str">
        <f t="shared" si="101"/>
        <v>Saturday</v>
      </c>
      <c r="D1643" s="1" t="str">
        <f t="shared" si="102"/>
        <v>November</v>
      </c>
      <c r="E1643" s="1" t="str">
        <f t="shared" si="103"/>
        <v>2023</v>
      </c>
      <c r="F1643" t="s">
        <v>9</v>
      </c>
      <c r="G1643" s="5">
        <v>683.46769735586497</v>
      </c>
      <c r="H1643" s="10">
        <v>5</v>
      </c>
      <c r="I1643" s="2">
        <v>267.81903683722697</v>
      </c>
      <c r="J1643" t="s">
        <v>14</v>
      </c>
    </row>
    <row r="1644" spans="1:10" x14ac:dyDescent="0.25">
      <c r="A1644" t="s">
        <v>343</v>
      </c>
      <c r="B1644" s="1">
        <f t="shared" si="100"/>
        <v>45255</v>
      </c>
      <c r="C1644" s="1" t="str">
        <f t="shared" si="101"/>
        <v>Saturday</v>
      </c>
      <c r="D1644" s="1" t="str">
        <f t="shared" si="102"/>
        <v>November</v>
      </c>
      <c r="E1644" s="1" t="str">
        <f t="shared" si="103"/>
        <v>2023</v>
      </c>
      <c r="F1644" t="s">
        <v>11</v>
      </c>
      <c r="G1644" s="5">
        <v>1258.4395768984</v>
      </c>
      <c r="H1644" s="10">
        <v>13</v>
      </c>
      <c r="I1644" s="2">
        <v>318.065139634491</v>
      </c>
      <c r="J1644" t="s">
        <v>8</v>
      </c>
    </row>
    <row r="1645" spans="1:10" x14ac:dyDescent="0.25">
      <c r="A1645" t="s">
        <v>343</v>
      </c>
      <c r="B1645" s="1">
        <f t="shared" si="100"/>
        <v>45255</v>
      </c>
      <c r="C1645" s="1" t="str">
        <f t="shared" si="101"/>
        <v>Saturday</v>
      </c>
      <c r="D1645" s="1" t="str">
        <f t="shared" si="102"/>
        <v>November</v>
      </c>
      <c r="E1645" s="1" t="str">
        <f t="shared" si="103"/>
        <v>2023</v>
      </c>
      <c r="F1645" t="s">
        <v>13</v>
      </c>
      <c r="G1645" s="5">
        <v>175.39499447143001</v>
      </c>
      <c r="H1645" s="10">
        <v>13</v>
      </c>
      <c r="I1645" s="2">
        <v>238.81246035986999</v>
      </c>
      <c r="J1645" t="s">
        <v>14</v>
      </c>
    </row>
    <row r="1646" spans="1:10" x14ac:dyDescent="0.25">
      <c r="A1646" t="s">
        <v>343</v>
      </c>
      <c r="B1646" s="1">
        <f t="shared" si="100"/>
        <v>45255</v>
      </c>
      <c r="C1646" s="1" t="str">
        <f t="shared" si="101"/>
        <v>Saturday</v>
      </c>
      <c r="D1646" s="1" t="str">
        <f t="shared" si="102"/>
        <v>November</v>
      </c>
      <c r="E1646" s="1" t="str">
        <f t="shared" si="103"/>
        <v>2023</v>
      </c>
      <c r="F1646" t="s">
        <v>16</v>
      </c>
      <c r="G1646" s="5">
        <v>1441.3147245130001</v>
      </c>
      <c r="H1646" s="10">
        <v>14</v>
      </c>
      <c r="I1646" s="2">
        <v>509.780864963358</v>
      </c>
      <c r="J1646" t="s">
        <v>14</v>
      </c>
    </row>
    <row r="1647" spans="1:10" x14ac:dyDescent="0.25">
      <c r="A1647" t="s">
        <v>344</v>
      </c>
      <c r="B1647" s="1">
        <f t="shared" si="100"/>
        <v>45256</v>
      </c>
      <c r="C1647" s="1" t="str">
        <f t="shared" si="101"/>
        <v>Sunday</v>
      </c>
      <c r="D1647" s="1" t="str">
        <f t="shared" si="102"/>
        <v>November</v>
      </c>
      <c r="E1647" s="1" t="str">
        <f t="shared" si="103"/>
        <v>2023</v>
      </c>
      <c r="F1647" t="s">
        <v>7</v>
      </c>
      <c r="G1647" s="5">
        <v>79.151433949769995</v>
      </c>
      <c r="H1647" s="10">
        <v>15</v>
      </c>
      <c r="I1647" s="2">
        <v>176.47098593071701</v>
      </c>
      <c r="J1647" t="s">
        <v>12</v>
      </c>
    </row>
    <row r="1648" spans="1:10" x14ac:dyDescent="0.25">
      <c r="A1648" t="s">
        <v>344</v>
      </c>
      <c r="B1648" s="1">
        <f t="shared" si="100"/>
        <v>45256</v>
      </c>
      <c r="C1648" s="1" t="str">
        <f t="shared" si="101"/>
        <v>Sunday</v>
      </c>
      <c r="D1648" s="1" t="str">
        <f t="shared" si="102"/>
        <v>November</v>
      </c>
      <c r="E1648" s="1" t="str">
        <f t="shared" si="103"/>
        <v>2023</v>
      </c>
      <c r="F1648" t="s">
        <v>9</v>
      </c>
      <c r="G1648" s="5">
        <v>938.85362499999997</v>
      </c>
      <c r="H1648" s="10">
        <v>17</v>
      </c>
      <c r="I1648" s="2">
        <v>365.85503044751903</v>
      </c>
      <c r="J1648" t="s">
        <v>14</v>
      </c>
    </row>
    <row r="1649" spans="1:10" x14ac:dyDescent="0.25">
      <c r="A1649" t="s">
        <v>344</v>
      </c>
      <c r="B1649" s="1">
        <f t="shared" si="100"/>
        <v>45256</v>
      </c>
      <c r="C1649" s="1" t="str">
        <f t="shared" si="101"/>
        <v>Sunday</v>
      </c>
      <c r="D1649" s="1" t="str">
        <f t="shared" si="102"/>
        <v>November</v>
      </c>
      <c r="E1649" s="1" t="str">
        <f t="shared" si="103"/>
        <v>2023</v>
      </c>
      <c r="F1649" t="s">
        <v>11</v>
      </c>
      <c r="G1649" s="5">
        <v>1194.1295179917399</v>
      </c>
      <c r="H1649" s="10">
        <v>19</v>
      </c>
      <c r="I1649" s="2">
        <v>240.67926882874201</v>
      </c>
      <c r="J1649" t="s">
        <v>10</v>
      </c>
    </row>
    <row r="1650" spans="1:10" x14ac:dyDescent="0.25">
      <c r="A1650" t="s">
        <v>344</v>
      </c>
      <c r="B1650" s="1">
        <f t="shared" si="100"/>
        <v>45256</v>
      </c>
      <c r="C1650" s="1" t="str">
        <f t="shared" si="101"/>
        <v>Sunday</v>
      </c>
      <c r="D1650" s="1" t="str">
        <f t="shared" si="102"/>
        <v>November</v>
      </c>
      <c r="E1650" s="1" t="str">
        <f t="shared" si="103"/>
        <v>2023</v>
      </c>
      <c r="F1650" t="s">
        <v>13</v>
      </c>
      <c r="G1650" s="5">
        <v>187.86777746409999</v>
      </c>
      <c r="H1650" s="10">
        <v>14</v>
      </c>
      <c r="I1650" s="2">
        <v>350.95347024570799</v>
      </c>
      <c r="J1650" t="s">
        <v>14</v>
      </c>
    </row>
    <row r="1651" spans="1:10" x14ac:dyDescent="0.25">
      <c r="A1651" t="s">
        <v>344</v>
      </c>
      <c r="B1651" s="1">
        <f t="shared" si="100"/>
        <v>45256</v>
      </c>
      <c r="C1651" s="1" t="str">
        <f t="shared" si="101"/>
        <v>Sunday</v>
      </c>
      <c r="D1651" s="1" t="str">
        <f t="shared" si="102"/>
        <v>November</v>
      </c>
      <c r="E1651" s="1" t="str">
        <f t="shared" si="103"/>
        <v>2023</v>
      </c>
      <c r="F1651" t="s">
        <v>16</v>
      </c>
      <c r="G1651" s="5">
        <v>983.15646444380002</v>
      </c>
      <c r="H1651" s="10">
        <v>1</v>
      </c>
      <c r="I1651" s="2">
        <v>134.182744944603</v>
      </c>
      <c r="J1651" t="s">
        <v>12</v>
      </c>
    </row>
    <row r="1652" spans="1:10" x14ac:dyDescent="0.25">
      <c r="A1652" t="s">
        <v>345</v>
      </c>
      <c r="B1652" s="1">
        <f t="shared" si="100"/>
        <v>45257</v>
      </c>
      <c r="C1652" s="1" t="str">
        <f t="shared" si="101"/>
        <v>Monday</v>
      </c>
      <c r="D1652" s="1" t="str">
        <f t="shared" si="102"/>
        <v>November</v>
      </c>
      <c r="E1652" s="1" t="str">
        <f t="shared" si="103"/>
        <v>2023</v>
      </c>
      <c r="F1652" t="s">
        <v>7</v>
      </c>
      <c r="G1652" s="5">
        <v>72.141996743359996</v>
      </c>
      <c r="H1652" s="10">
        <v>1</v>
      </c>
      <c r="I1652" s="2">
        <v>154.54596454051199</v>
      </c>
      <c r="J1652" t="s">
        <v>12</v>
      </c>
    </row>
    <row r="1653" spans="1:10" x14ac:dyDescent="0.25">
      <c r="A1653" t="s">
        <v>345</v>
      </c>
      <c r="B1653" s="1">
        <f t="shared" si="100"/>
        <v>45257</v>
      </c>
      <c r="C1653" s="1" t="str">
        <f t="shared" si="101"/>
        <v>Monday</v>
      </c>
      <c r="D1653" s="1" t="str">
        <f t="shared" si="102"/>
        <v>November</v>
      </c>
      <c r="E1653" s="1" t="str">
        <f t="shared" si="103"/>
        <v>2023</v>
      </c>
      <c r="F1653" t="s">
        <v>9</v>
      </c>
      <c r="G1653" s="5">
        <v>566.43842676331997</v>
      </c>
      <c r="H1653" s="10">
        <v>6</v>
      </c>
      <c r="I1653" s="2">
        <v>145.04765309560801</v>
      </c>
      <c r="J1653" t="s">
        <v>14</v>
      </c>
    </row>
    <row r="1654" spans="1:10" x14ac:dyDescent="0.25">
      <c r="A1654" t="s">
        <v>345</v>
      </c>
      <c r="B1654" s="1">
        <f t="shared" si="100"/>
        <v>45257</v>
      </c>
      <c r="C1654" s="1" t="str">
        <f t="shared" si="101"/>
        <v>Monday</v>
      </c>
      <c r="D1654" s="1" t="str">
        <f t="shared" si="102"/>
        <v>November</v>
      </c>
      <c r="E1654" s="1" t="str">
        <f t="shared" si="103"/>
        <v>2023</v>
      </c>
      <c r="F1654" t="s">
        <v>11</v>
      </c>
      <c r="G1654" s="5">
        <v>1286.5877116216</v>
      </c>
      <c r="H1654" s="10">
        <v>8</v>
      </c>
      <c r="I1654" s="2">
        <v>260.45646886098802</v>
      </c>
      <c r="J1654" t="s">
        <v>10</v>
      </c>
    </row>
    <row r="1655" spans="1:10" x14ac:dyDescent="0.25">
      <c r="A1655" t="s">
        <v>345</v>
      </c>
      <c r="B1655" s="1">
        <f t="shared" si="100"/>
        <v>45257</v>
      </c>
      <c r="C1655" s="1" t="str">
        <f t="shared" si="101"/>
        <v>Monday</v>
      </c>
      <c r="D1655" s="1" t="str">
        <f t="shared" si="102"/>
        <v>November</v>
      </c>
      <c r="E1655" s="1" t="str">
        <f t="shared" si="103"/>
        <v>2023</v>
      </c>
      <c r="F1655" t="s">
        <v>13</v>
      </c>
      <c r="G1655" s="5">
        <v>988.37713153136997</v>
      </c>
      <c r="H1655" s="10">
        <v>12</v>
      </c>
      <c r="I1655" s="2">
        <v>340.113500136038</v>
      </c>
      <c r="J1655" t="s">
        <v>12</v>
      </c>
    </row>
    <row r="1656" spans="1:10" x14ac:dyDescent="0.25">
      <c r="A1656" t="s">
        <v>345</v>
      </c>
      <c r="B1656" s="1">
        <f t="shared" si="100"/>
        <v>45257</v>
      </c>
      <c r="C1656" s="1" t="str">
        <f t="shared" si="101"/>
        <v>Monday</v>
      </c>
      <c r="D1656" s="1" t="str">
        <f t="shared" si="102"/>
        <v>November</v>
      </c>
      <c r="E1656" s="1" t="str">
        <f t="shared" si="103"/>
        <v>2023</v>
      </c>
      <c r="F1656" t="s">
        <v>16</v>
      </c>
      <c r="G1656" s="5">
        <v>1169.891961627</v>
      </c>
      <c r="H1656" s="10">
        <v>5</v>
      </c>
      <c r="I1656" s="2">
        <v>218.471591755307</v>
      </c>
      <c r="J1656" t="s">
        <v>10</v>
      </c>
    </row>
    <row r="1657" spans="1:10" x14ac:dyDescent="0.25">
      <c r="A1657" t="s">
        <v>346</v>
      </c>
      <c r="B1657" s="1">
        <f t="shared" si="100"/>
        <v>45258</v>
      </c>
      <c r="C1657" s="1" t="str">
        <f t="shared" si="101"/>
        <v>Tuesday</v>
      </c>
      <c r="D1657" s="1" t="str">
        <f t="shared" si="102"/>
        <v>November</v>
      </c>
      <c r="E1657" s="1" t="str">
        <f t="shared" si="103"/>
        <v>2023</v>
      </c>
      <c r="F1657" t="s">
        <v>7</v>
      </c>
      <c r="G1657" s="5">
        <v>833.46587911686004</v>
      </c>
      <c r="H1657" s="10">
        <v>5</v>
      </c>
      <c r="I1657" s="2">
        <v>95.813607135384103</v>
      </c>
      <c r="J1657" t="s">
        <v>8</v>
      </c>
    </row>
    <row r="1658" spans="1:10" x14ac:dyDescent="0.25">
      <c r="A1658" t="s">
        <v>346</v>
      </c>
      <c r="B1658" s="1">
        <f t="shared" si="100"/>
        <v>45258</v>
      </c>
      <c r="C1658" s="1" t="str">
        <f t="shared" si="101"/>
        <v>Tuesday</v>
      </c>
      <c r="D1658" s="1" t="str">
        <f t="shared" si="102"/>
        <v>November</v>
      </c>
      <c r="E1658" s="1" t="str">
        <f t="shared" si="103"/>
        <v>2023</v>
      </c>
      <c r="F1658" t="s">
        <v>9</v>
      </c>
      <c r="G1658" s="5">
        <v>1114.4838447530001</v>
      </c>
      <c r="H1658" s="10">
        <v>7</v>
      </c>
      <c r="I1658" s="2">
        <v>327.12903705027702</v>
      </c>
      <c r="J1658" t="s">
        <v>8</v>
      </c>
    </row>
    <row r="1659" spans="1:10" x14ac:dyDescent="0.25">
      <c r="A1659" t="s">
        <v>346</v>
      </c>
      <c r="B1659" s="1">
        <f t="shared" si="100"/>
        <v>45258</v>
      </c>
      <c r="C1659" s="1" t="str">
        <f t="shared" si="101"/>
        <v>Tuesday</v>
      </c>
      <c r="D1659" s="1" t="str">
        <f t="shared" si="102"/>
        <v>November</v>
      </c>
      <c r="E1659" s="1" t="str">
        <f t="shared" si="103"/>
        <v>2023</v>
      </c>
      <c r="F1659" t="s">
        <v>11</v>
      </c>
      <c r="G1659" s="5">
        <v>969.73438733617797</v>
      </c>
      <c r="H1659" s="10">
        <v>19</v>
      </c>
      <c r="I1659" s="2">
        <v>376.36364447548198</v>
      </c>
      <c r="J1659" t="s">
        <v>10</v>
      </c>
    </row>
    <row r="1660" spans="1:10" x14ac:dyDescent="0.25">
      <c r="A1660" t="s">
        <v>346</v>
      </c>
      <c r="B1660" s="1">
        <f t="shared" si="100"/>
        <v>45258</v>
      </c>
      <c r="C1660" s="1" t="str">
        <f t="shared" si="101"/>
        <v>Tuesday</v>
      </c>
      <c r="D1660" s="1" t="str">
        <f t="shared" si="102"/>
        <v>November</v>
      </c>
      <c r="E1660" s="1" t="str">
        <f t="shared" si="103"/>
        <v>2023</v>
      </c>
      <c r="F1660" t="s">
        <v>13</v>
      </c>
      <c r="G1660" s="5">
        <v>489.25545948822997</v>
      </c>
      <c r="H1660" s="10">
        <v>8</v>
      </c>
      <c r="I1660" s="2">
        <v>132.12712092259099</v>
      </c>
      <c r="J1660" t="s">
        <v>10</v>
      </c>
    </row>
    <row r="1661" spans="1:10" x14ac:dyDescent="0.25">
      <c r="A1661" t="s">
        <v>346</v>
      </c>
      <c r="B1661" s="1">
        <f t="shared" si="100"/>
        <v>45258</v>
      </c>
      <c r="C1661" s="1" t="str">
        <f t="shared" si="101"/>
        <v>Tuesday</v>
      </c>
      <c r="D1661" s="1" t="str">
        <f t="shared" si="102"/>
        <v>November</v>
      </c>
      <c r="E1661" s="1" t="str">
        <f t="shared" si="103"/>
        <v>2023</v>
      </c>
      <c r="F1661" t="s">
        <v>16</v>
      </c>
      <c r="G1661" s="5">
        <v>15.54582119692</v>
      </c>
      <c r="H1661" s="10">
        <v>2</v>
      </c>
      <c r="I1661" s="2">
        <v>301.44669911673702</v>
      </c>
      <c r="J1661" t="s">
        <v>8</v>
      </c>
    </row>
    <row r="1662" spans="1:10" x14ac:dyDescent="0.25">
      <c r="A1662" t="s">
        <v>347</v>
      </c>
      <c r="B1662" s="1">
        <f t="shared" si="100"/>
        <v>45259</v>
      </c>
      <c r="C1662" s="1" t="str">
        <f t="shared" si="101"/>
        <v>Wednesday</v>
      </c>
      <c r="D1662" s="1" t="str">
        <f t="shared" si="102"/>
        <v>November</v>
      </c>
      <c r="E1662" s="1" t="str">
        <f t="shared" si="103"/>
        <v>2023</v>
      </c>
      <c r="F1662" t="s">
        <v>7</v>
      </c>
      <c r="G1662" s="5">
        <v>1113.9514671855</v>
      </c>
      <c r="H1662" s="10">
        <v>6</v>
      </c>
      <c r="I1662" s="2">
        <v>334.407732688257</v>
      </c>
      <c r="J1662" t="s">
        <v>8</v>
      </c>
    </row>
    <row r="1663" spans="1:10" x14ac:dyDescent="0.25">
      <c r="A1663" t="s">
        <v>347</v>
      </c>
      <c r="B1663" s="1">
        <f t="shared" si="100"/>
        <v>45259</v>
      </c>
      <c r="C1663" s="1" t="str">
        <f t="shared" si="101"/>
        <v>Wednesday</v>
      </c>
      <c r="D1663" s="1" t="str">
        <f t="shared" si="102"/>
        <v>November</v>
      </c>
      <c r="E1663" s="1" t="str">
        <f t="shared" si="103"/>
        <v>2023</v>
      </c>
      <c r="F1663" t="s">
        <v>9</v>
      </c>
      <c r="G1663" s="5">
        <v>96.212750999999997</v>
      </c>
      <c r="H1663" s="10">
        <v>2</v>
      </c>
      <c r="I1663" s="2">
        <v>316.54284343151602</v>
      </c>
      <c r="J1663" t="s">
        <v>12</v>
      </c>
    </row>
    <row r="1664" spans="1:10" x14ac:dyDescent="0.25">
      <c r="A1664" t="s">
        <v>347</v>
      </c>
      <c r="B1664" s="1">
        <f t="shared" si="100"/>
        <v>45259</v>
      </c>
      <c r="C1664" s="1" t="str">
        <f t="shared" si="101"/>
        <v>Wednesday</v>
      </c>
      <c r="D1664" s="1" t="str">
        <f t="shared" si="102"/>
        <v>November</v>
      </c>
      <c r="E1664" s="1" t="str">
        <f t="shared" si="103"/>
        <v>2023</v>
      </c>
      <c r="F1664" t="s">
        <v>11</v>
      </c>
      <c r="G1664" s="5">
        <v>643.31974139510999</v>
      </c>
      <c r="H1664" s="10">
        <v>1</v>
      </c>
      <c r="I1664" s="2">
        <v>167.876940949866</v>
      </c>
      <c r="J1664" t="s">
        <v>8</v>
      </c>
    </row>
    <row r="1665" spans="1:10" x14ac:dyDescent="0.25">
      <c r="A1665" t="s">
        <v>347</v>
      </c>
      <c r="B1665" s="1">
        <f t="shared" si="100"/>
        <v>45259</v>
      </c>
      <c r="C1665" s="1" t="str">
        <f t="shared" si="101"/>
        <v>Wednesday</v>
      </c>
      <c r="D1665" s="1" t="str">
        <f t="shared" si="102"/>
        <v>November</v>
      </c>
      <c r="E1665" s="1" t="str">
        <f t="shared" si="103"/>
        <v>2023</v>
      </c>
      <c r="F1665" t="s">
        <v>13</v>
      </c>
      <c r="G1665" s="5">
        <v>985.35953761563997</v>
      </c>
      <c r="H1665" s="10">
        <v>13</v>
      </c>
      <c r="I1665" s="2">
        <v>161.45783021616899</v>
      </c>
      <c r="J1665" t="s">
        <v>14</v>
      </c>
    </row>
    <row r="1666" spans="1:10" x14ac:dyDescent="0.25">
      <c r="A1666" t="s">
        <v>347</v>
      </c>
      <c r="B1666" s="1">
        <f t="shared" si="100"/>
        <v>45259</v>
      </c>
      <c r="C1666" s="1" t="str">
        <f t="shared" si="101"/>
        <v>Wednesday</v>
      </c>
      <c r="D1666" s="1" t="str">
        <f t="shared" si="102"/>
        <v>November</v>
      </c>
      <c r="E1666" s="1" t="str">
        <f t="shared" si="103"/>
        <v>2023</v>
      </c>
      <c r="F1666" t="s">
        <v>16</v>
      </c>
      <c r="G1666" s="5">
        <v>762.73546249162996</v>
      </c>
      <c r="H1666" s="10">
        <v>7</v>
      </c>
      <c r="I1666" s="2">
        <v>134.21068188199999</v>
      </c>
      <c r="J1666" t="s">
        <v>10</v>
      </c>
    </row>
    <row r="1667" spans="1:10" x14ac:dyDescent="0.25">
      <c r="A1667" t="s">
        <v>348</v>
      </c>
      <c r="B1667" s="1">
        <f t="shared" ref="B1667:B1730" si="104">DATE(VALUE(RIGHT(A1667,4)),VALUE(LEFT(A1667,FIND("/",A1667)-1)),VALUE(MID(A1667,FIND("/",A1667)+1,FIND("/",A1667,FIND("/",A1667)+1)-FIND("/",A1667)-1)))</f>
        <v>45260</v>
      </c>
      <c r="C1667" s="1" t="str">
        <f t="shared" ref="C1667:C1730" si="105">TEXT(B1667,"DDDD")</f>
        <v>Thursday</v>
      </c>
      <c r="D1667" s="1" t="str">
        <f t="shared" ref="D1667:D1730" si="106">TEXT(B1667,"MMMM")</f>
        <v>November</v>
      </c>
      <c r="E1667" s="1" t="str">
        <f t="shared" ref="E1667:E1730" si="107">TEXT(B1667,"YYYY")</f>
        <v>2023</v>
      </c>
      <c r="F1667" t="s">
        <v>7</v>
      </c>
      <c r="G1667" s="5">
        <v>11.224288684399999</v>
      </c>
      <c r="H1667" s="10">
        <v>3</v>
      </c>
      <c r="I1667" s="2">
        <v>289.61583717263898</v>
      </c>
      <c r="J1667" t="s">
        <v>14</v>
      </c>
    </row>
    <row r="1668" spans="1:10" x14ac:dyDescent="0.25">
      <c r="A1668" t="s">
        <v>348</v>
      </c>
      <c r="B1668" s="1">
        <f t="shared" si="104"/>
        <v>45260</v>
      </c>
      <c r="C1668" s="1" t="str">
        <f t="shared" si="105"/>
        <v>Thursday</v>
      </c>
      <c r="D1668" s="1" t="str">
        <f t="shared" si="106"/>
        <v>November</v>
      </c>
      <c r="E1668" s="1" t="str">
        <f t="shared" si="107"/>
        <v>2023</v>
      </c>
      <c r="F1668" t="s">
        <v>9</v>
      </c>
      <c r="G1668" s="5">
        <v>7.9884316999999996</v>
      </c>
      <c r="H1668" s="10">
        <v>1</v>
      </c>
      <c r="I1668" s="2">
        <v>9.7956962450000002</v>
      </c>
      <c r="J1668" t="s">
        <v>12</v>
      </c>
    </row>
    <row r="1669" spans="1:10" x14ac:dyDescent="0.25">
      <c r="A1669" t="s">
        <v>348</v>
      </c>
      <c r="B1669" s="1">
        <f t="shared" si="104"/>
        <v>45260</v>
      </c>
      <c r="C1669" s="1" t="str">
        <f t="shared" si="105"/>
        <v>Thursday</v>
      </c>
      <c r="D1669" s="1" t="str">
        <f t="shared" si="106"/>
        <v>November</v>
      </c>
      <c r="E1669" s="1" t="str">
        <f t="shared" si="107"/>
        <v>2023</v>
      </c>
      <c r="F1669" t="s">
        <v>11</v>
      </c>
      <c r="G1669" s="5">
        <v>138.59588438626</v>
      </c>
      <c r="H1669" s="10">
        <v>16</v>
      </c>
      <c r="I1669" s="2">
        <v>131.7375136</v>
      </c>
      <c r="J1669" t="s">
        <v>14</v>
      </c>
    </row>
    <row r="1670" spans="1:10" x14ac:dyDescent="0.25">
      <c r="A1670" t="s">
        <v>348</v>
      </c>
      <c r="B1670" s="1">
        <f t="shared" si="104"/>
        <v>45260</v>
      </c>
      <c r="C1670" s="1" t="str">
        <f t="shared" si="105"/>
        <v>Thursday</v>
      </c>
      <c r="D1670" s="1" t="str">
        <f t="shared" si="106"/>
        <v>November</v>
      </c>
      <c r="E1670" s="1" t="str">
        <f t="shared" si="107"/>
        <v>2023</v>
      </c>
      <c r="F1670" t="s">
        <v>13</v>
      </c>
      <c r="G1670" s="5">
        <v>961.69657838320995</v>
      </c>
      <c r="H1670" s="10">
        <v>12</v>
      </c>
      <c r="I1670" s="2">
        <v>133.359210330916</v>
      </c>
      <c r="J1670" t="s">
        <v>12</v>
      </c>
    </row>
    <row r="1671" spans="1:10" x14ac:dyDescent="0.25">
      <c r="A1671" t="s">
        <v>348</v>
      </c>
      <c r="B1671" s="1">
        <f t="shared" si="104"/>
        <v>45260</v>
      </c>
      <c r="C1671" s="1" t="str">
        <f t="shared" si="105"/>
        <v>Thursday</v>
      </c>
      <c r="D1671" s="1" t="str">
        <f t="shared" si="106"/>
        <v>November</v>
      </c>
      <c r="E1671" s="1" t="str">
        <f t="shared" si="107"/>
        <v>2023</v>
      </c>
      <c r="F1671" t="s">
        <v>16</v>
      </c>
      <c r="G1671" s="5">
        <v>124.75296913530001</v>
      </c>
      <c r="H1671" s="10">
        <v>18</v>
      </c>
      <c r="I1671" s="2">
        <v>293.84955446981201</v>
      </c>
      <c r="J1671" t="s">
        <v>10</v>
      </c>
    </row>
    <row r="1672" spans="1:10" x14ac:dyDescent="0.25">
      <c r="A1672" t="s">
        <v>349</v>
      </c>
      <c r="B1672" s="1">
        <f t="shared" si="104"/>
        <v>45261</v>
      </c>
      <c r="C1672" s="1" t="str">
        <f t="shared" si="105"/>
        <v>Friday</v>
      </c>
      <c r="D1672" s="1" t="str">
        <f t="shared" si="106"/>
        <v>December</v>
      </c>
      <c r="E1672" s="1" t="str">
        <f t="shared" si="107"/>
        <v>2023</v>
      </c>
      <c r="F1672" t="s">
        <v>7</v>
      </c>
      <c r="G1672" s="5">
        <v>186.94729496514</v>
      </c>
      <c r="H1672" s="10">
        <v>17</v>
      </c>
      <c r="I1672" s="2">
        <v>317.12833931416998</v>
      </c>
      <c r="J1672" t="s">
        <v>12</v>
      </c>
    </row>
    <row r="1673" spans="1:10" x14ac:dyDescent="0.25">
      <c r="A1673" t="s">
        <v>349</v>
      </c>
      <c r="B1673" s="1">
        <f t="shared" si="104"/>
        <v>45261</v>
      </c>
      <c r="C1673" s="1" t="str">
        <f t="shared" si="105"/>
        <v>Friday</v>
      </c>
      <c r="D1673" s="1" t="str">
        <f t="shared" si="106"/>
        <v>December</v>
      </c>
      <c r="E1673" s="1" t="str">
        <f t="shared" si="107"/>
        <v>2023</v>
      </c>
      <c r="F1673" t="s">
        <v>9</v>
      </c>
      <c r="G1673" s="5">
        <v>1178.312788723</v>
      </c>
      <c r="H1673" s="10">
        <v>16</v>
      </c>
      <c r="I1673" s="2">
        <v>370.01700716351797</v>
      </c>
      <c r="J1673" t="s">
        <v>14</v>
      </c>
    </row>
    <row r="1674" spans="1:10" x14ac:dyDescent="0.25">
      <c r="A1674" t="s">
        <v>349</v>
      </c>
      <c r="B1674" s="1">
        <f t="shared" si="104"/>
        <v>45261</v>
      </c>
      <c r="C1674" s="1" t="str">
        <f t="shared" si="105"/>
        <v>Friday</v>
      </c>
      <c r="D1674" s="1" t="str">
        <f t="shared" si="106"/>
        <v>December</v>
      </c>
      <c r="E1674" s="1" t="str">
        <f t="shared" si="107"/>
        <v>2023</v>
      </c>
      <c r="F1674" t="s">
        <v>11</v>
      </c>
      <c r="G1674" s="5">
        <v>859.24774161396999</v>
      </c>
      <c r="H1674" s="10">
        <v>4</v>
      </c>
      <c r="I1674" s="2">
        <v>238.933232807503</v>
      </c>
      <c r="J1674" t="s">
        <v>14</v>
      </c>
    </row>
    <row r="1675" spans="1:10" x14ac:dyDescent="0.25">
      <c r="A1675" t="s">
        <v>349</v>
      </c>
      <c r="B1675" s="1">
        <f t="shared" si="104"/>
        <v>45261</v>
      </c>
      <c r="C1675" s="1" t="str">
        <f t="shared" si="105"/>
        <v>Friday</v>
      </c>
      <c r="D1675" s="1" t="str">
        <f t="shared" si="106"/>
        <v>December</v>
      </c>
      <c r="E1675" s="1" t="str">
        <f t="shared" si="107"/>
        <v>2023</v>
      </c>
      <c r="F1675" t="s">
        <v>13</v>
      </c>
      <c r="G1675" s="5">
        <v>137.27434462823999</v>
      </c>
      <c r="H1675" s="10">
        <v>16</v>
      </c>
      <c r="I1675" s="2">
        <v>322.54278458208302</v>
      </c>
      <c r="J1675" t="s">
        <v>12</v>
      </c>
    </row>
    <row r="1676" spans="1:10" x14ac:dyDescent="0.25">
      <c r="A1676" t="s">
        <v>349</v>
      </c>
      <c r="B1676" s="1">
        <f t="shared" si="104"/>
        <v>45261</v>
      </c>
      <c r="C1676" s="1" t="str">
        <f t="shared" si="105"/>
        <v>Friday</v>
      </c>
      <c r="D1676" s="1" t="str">
        <f t="shared" si="106"/>
        <v>December</v>
      </c>
      <c r="E1676" s="1" t="str">
        <f t="shared" si="107"/>
        <v>2023</v>
      </c>
      <c r="F1676" t="s">
        <v>16</v>
      </c>
      <c r="G1676" s="5">
        <v>138.82393286589999</v>
      </c>
      <c r="H1676" s="10">
        <v>14</v>
      </c>
      <c r="I1676" s="2">
        <v>359.136451567086</v>
      </c>
      <c r="J1676" t="s">
        <v>8</v>
      </c>
    </row>
    <row r="1677" spans="1:10" x14ac:dyDescent="0.25">
      <c r="A1677" t="s">
        <v>350</v>
      </c>
      <c r="B1677" s="1">
        <f t="shared" si="104"/>
        <v>45262</v>
      </c>
      <c r="C1677" s="1" t="str">
        <f t="shared" si="105"/>
        <v>Saturday</v>
      </c>
      <c r="D1677" s="1" t="str">
        <f t="shared" si="106"/>
        <v>December</v>
      </c>
      <c r="E1677" s="1" t="str">
        <f t="shared" si="107"/>
        <v>2023</v>
      </c>
      <c r="F1677" t="s">
        <v>7</v>
      </c>
      <c r="G1677" s="5">
        <v>1239.157812122</v>
      </c>
      <c r="H1677" s="10">
        <v>17</v>
      </c>
      <c r="I1677" s="2">
        <v>300.290698702356</v>
      </c>
      <c r="J1677" t="s">
        <v>10</v>
      </c>
    </row>
    <row r="1678" spans="1:10" x14ac:dyDescent="0.25">
      <c r="A1678" t="s">
        <v>350</v>
      </c>
      <c r="B1678" s="1">
        <f t="shared" si="104"/>
        <v>45262</v>
      </c>
      <c r="C1678" s="1" t="str">
        <f t="shared" si="105"/>
        <v>Saturday</v>
      </c>
      <c r="D1678" s="1" t="str">
        <f t="shared" si="106"/>
        <v>December</v>
      </c>
      <c r="E1678" s="1" t="str">
        <f t="shared" si="107"/>
        <v>2023</v>
      </c>
      <c r="F1678" t="s">
        <v>9</v>
      </c>
      <c r="G1678" s="5">
        <v>115.11156918899999</v>
      </c>
      <c r="H1678" s="10">
        <v>19</v>
      </c>
      <c r="I1678" s="2">
        <v>344.18217656430397</v>
      </c>
      <c r="J1678" t="s">
        <v>14</v>
      </c>
    </row>
    <row r="1679" spans="1:10" x14ac:dyDescent="0.25">
      <c r="A1679" t="s">
        <v>350</v>
      </c>
      <c r="B1679" s="1">
        <f t="shared" si="104"/>
        <v>45262</v>
      </c>
      <c r="C1679" s="1" t="str">
        <f t="shared" si="105"/>
        <v>Saturday</v>
      </c>
      <c r="D1679" s="1" t="str">
        <f t="shared" si="106"/>
        <v>December</v>
      </c>
      <c r="E1679" s="1" t="str">
        <f t="shared" si="107"/>
        <v>2023</v>
      </c>
      <c r="F1679" t="s">
        <v>11</v>
      </c>
      <c r="G1679" s="5">
        <v>119.6595994986</v>
      </c>
      <c r="H1679" s="10">
        <v>13</v>
      </c>
      <c r="I1679" s="2">
        <v>406.77662421091298</v>
      </c>
      <c r="J1679" t="s">
        <v>12</v>
      </c>
    </row>
    <row r="1680" spans="1:10" x14ac:dyDescent="0.25">
      <c r="A1680" t="s">
        <v>350</v>
      </c>
      <c r="B1680" s="1">
        <f t="shared" si="104"/>
        <v>45262</v>
      </c>
      <c r="C1680" s="1" t="str">
        <f t="shared" si="105"/>
        <v>Saturday</v>
      </c>
      <c r="D1680" s="1" t="str">
        <f t="shared" si="106"/>
        <v>December</v>
      </c>
      <c r="E1680" s="1" t="str">
        <f t="shared" si="107"/>
        <v>2023</v>
      </c>
      <c r="F1680" t="s">
        <v>13</v>
      </c>
      <c r="G1680" s="5">
        <v>183.72515753549999</v>
      </c>
      <c r="H1680" s="10">
        <v>18</v>
      </c>
      <c r="I1680" s="2">
        <v>299.50987764335702</v>
      </c>
      <c r="J1680" t="s">
        <v>14</v>
      </c>
    </row>
    <row r="1681" spans="1:10" x14ac:dyDescent="0.25">
      <c r="A1681" t="s">
        <v>350</v>
      </c>
      <c r="B1681" s="1">
        <f t="shared" si="104"/>
        <v>45262</v>
      </c>
      <c r="C1681" s="1" t="str">
        <f t="shared" si="105"/>
        <v>Saturday</v>
      </c>
      <c r="D1681" s="1" t="str">
        <f t="shared" si="106"/>
        <v>December</v>
      </c>
      <c r="E1681" s="1" t="str">
        <f t="shared" si="107"/>
        <v>2023</v>
      </c>
      <c r="F1681" t="s">
        <v>16</v>
      </c>
      <c r="G1681" s="5">
        <v>187.46913459000001</v>
      </c>
      <c r="H1681" s="10">
        <v>17</v>
      </c>
      <c r="I1681" s="2">
        <v>408.16173125154103</v>
      </c>
      <c r="J1681" t="s">
        <v>12</v>
      </c>
    </row>
    <row r="1682" spans="1:10" x14ac:dyDescent="0.25">
      <c r="A1682" t="s">
        <v>351</v>
      </c>
      <c r="B1682" s="1">
        <f t="shared" si="104"/>
        <v>45263</v>
      </c>
      <c r="C1682" s="1" t="str">
        <f t="shared" si="105"/>
        <v>Sunday</v>
      </c>
      <c r="D1682" s="1" t="str">
        <f t="shared" si="106"/>
        <v>December</v>
      </c>
      <c r="E1682" s="1" t="str">
        <f t="shared" si="107"/>
        <v>2023</v>
      </c>
      <c r="F1682" t="s">
        <v>7</v>
      </c>
      <c r="G1682" s="5">
        <v>979.93271749999997</v>
      </c>
      <c r="H1682" s="10">
        <v>4</v>
      </c>
      <c r="I1682" s="2">
        <v>385.602781852833</v>
      </c>
      <c r="J1682" t="s">
        <v>14</v>
      </c>
    </row>
    <row r="1683" spans="1:10" x14ac:dyDescent="0.25">
      <c r="A1683" t="s">
        <v>351</v>
      </c>
      <c r="B1683" s="1">
        <f t="shared" si="104"/>
        <v>45263</v>
      </c>
      <c r="C1683" s="1" t="str">
        <f t="shared" si="105"/>
        <v>Sunday</v>
      </c>
      <c r="D1683" s="1" t="str">
        <f t="shared" si="106"/>
        <v>December</v>
      </c>
      <c r="E1683" s="1" t="str">
        <f t="shared" si="107"/>
        <v>2023</v>
      </c>
      <c r="F1683" t="s">
        <v>9</v>
      </c>
      <c r="G1683" s="5">
        <v>1436.39694364876</v>
      </c>
      <c r="H1683" s="10">
        <v>11</v>
      </c>
      <c r="I1683" s="2">
        <v>275.112971661605</v>
      </c>
      <c r="J1683" t="s">
        <v>12</v>
      </c>
    </row>
    <row r="1684" spans="1:10" x14ac:dyDescent="0.25">
      <c r="A1684" t="s">
        <v>351</v>
      </c>
      <c r="B1684" s="1">
        <f t="shared" si="104"/>
        <v>45263</v>
      </c>
      <c r="C1684" s="1" t="str">
        <f t="shared" si="105"/>
        <v>Sunday</v>
      </c>
      <c r="D1684" s="1" t="str">
        <f t="shared" si="106"/>
        <v>December</v>
      </c>
      <c r="E1684" s="1" t="str">
        <f t="shared" si="107"/>
        <v>2023</v>
      </c>
      <c r="F1684" t="s">
        <v>11</v>
      </c>
      <c r="G1684" s="5">
        <v>939.77952459942003</v>
      </c>
      <c r="H1684" s="10">
        <v>17</v>
      </c>
      <c r="I1684" s="2">
        <v>103.89053551148</v>
      </c>
      <c r="J1684" t="s">
        <v>14</v>
      </c>
    </row>
    <row r="1685" spans="1:10" x14ac:dyDescent="0.25">
      <c r="A1685" t="s">
        <v>351</v>
      </c>
      <c r="B1685" s="1">
        <f t="shared" si="104"/>
        <v>45263</v>
      </c>
      <c r="C1685" s="1" t="str">
        <f t="shared" si="105"/>
        <v>Sunday</v>
      </c>
      <c r="D1685" s="1" t="str">
        <f t="shared" si="106"/>
        <v>December</v>
      </c>
      <c r="E1685" s="1" t="str">
        <f t="shared" si="107"/>
        <v>2023</v>
      </c>
      <c r="F1685" t="s">
        <v>13</v>
      </c>
      <c r="G1685" s="5">
        <v>623.16121161686499</v>
      </c>
      <c r="H1685" s="10">
        <v>3</v>
      </c>
      <c r="I1685" s="2">
        <v>164.036337965277</v>
      </c>
      <c r="J1685" t="s">
        <v>14</v>
      </c>
    </row>
    <row r="1686" spans="1:10" x14ac:dyDescent="0.25">
      <c r="A1686" t="s">
        <v>351</v>
      </c>
      <c r="B1686" s="1">
        <f t="shared" si="104"/>
        <v>45263</v>
      </c>
      <c r="C1686" s="1" t="str">
        <f t="shared" si="105"/>
        <v>Sunday</v>
      </c>
      <c r="D1686" s="1" t="str">
        <f t="shared" si="106"/>
        <v>December</v>
      </c>
      <c r="E1686" s="1" t="str">
        <f t="shared" si="107"/>
        <v>2023</v>
      </c>
      <c r="F1686" t="s">
        <v>16</v>
      </c>
      <c r="G1686" s="5">
        <v>928.82488614199997</v>
      </c>
      <c r="H1686" s="10">
        <v>18</v>
      </c>
      <c r="I1686" s="2">
        <v>184.48620040911501</v>
      </c>
      <c r="J1686" t="s">
        <v>14</v>
      </c>
    </row>
    <row r="1687" spans="1:10" x14ac:dyDescent="0.25">
      <c r="A1687" t="s">
        <v>352</v>
      </c>
      <c r="B1687" s="1">
        <f t="shared" si="104"/>
        <v>45264</v>
      </c>
      <c r="C1687" s="1" t="str">
        <f t="shared" si="105"/>
        <v>Monday</v>
      </c>
      <c r="D1687" s="1" t="str">
        <f t="shared" si="106"/>
        <v>December</v>
      </c>
      <c r="E1687" s="1" t="str">
        <f t="shared" si="107"/>
        <v>2023</v>
      </c>
      <c r="F1687" t="s">
        <v>7</v>
      </c>
      <c r="G1687" s="5">
        <v>852.31362841223995</v>
      </c>
      <c r="H1687" s="10">
        <v>17</v>
      </c>
      <c r="I1687" s="2">
        <v>132.39034681739699</v>
      </c>
      <c r="J1687" t="s">
        <v>12</v>
      </c>
    </row>
    <row r="1688" spans="1:10" x14ac:dyDescent="0.25">
      <c r="A1688" t="s">
        <v>352</v>
      </c>
      <c r="B1688" s="1">
        <f t="shared" si="104"/>
        <v>45264</v>
      </c>
      <c r="C1688" s="1" t="str">
        <f t="shared" si="105"/>
        <v>Monday</v>
      </c>
      <c r="D1688" s="1" t="str">
        <f t="shared" si="106"/>
        <v>December</v>
      </c>
      <c r="E1688" s="1" t="str">
        <f t="shared" si="107"/>
        <v>2023</v>
      </c>
      <c r="F1688" t="s">
        <v>9</v>
      </c>
      <c r="G1688" s="5">
        <v>1474.7664979374999</v>
      </c>
      <c r="H1688" s="10">
        <v>2</v>
      </c>
      <c r="I1688" s="2">
        <v>181.376694350044</v>
      </c>
      <c r="J1688" t="s">
        <v>8</v>
      </c>
    </row>
    <row r="1689" spans="1:10" x14ac:dyDescent="0.25">
      <c r="A1689" t="s">
        <v>352</v>
      </c>
      <c r="B1689" s="1">
        <f t="shared" si="104"/>
        <v>45264</v>
      </c>
      <c r="C1689" s="1" t="str">
        <f t="shared" si="105"/>
        <v>Monday</v>
      </c>
      <c r="D1689" s="1" t="str">
        <f t="shared" si="106"/>
        <v>December</v>
      </c>
      <c r="E1689" s="1" t="str">
        <f t="shared" si="107"/>
        <v>2023</v>
      </c>
      <c r="F1689" t="s">
        <v>11</v>
      </c>
      <c r="G1689" s="5">
        <v>922.73452865648005</v>
      </c>
      <c r="H1689" s="10">
        <v>6</v>
      </c>
      <c r="I1689" s="2">
        <v>208.24263005923299</v>
      </c>
      <c r="J1689" t="s">
        <v>12</v>
      </c>
    </row>
    <row r="1690" spans="1:10" x14ac:dyDescent="0.25">
      <c r="A1690" t="s">
        <v>352</v>
      </c>
      <c r="B1690" s="1">
        <f t="shared" si="104"/>
        <v>45264</v>
      </c>
      <c r="C1690" s="1" t="str">
        <f t="shared" si="105"/>
        <v>Monday</v>
      </c>
      <c r="D1690" s="1" t="str">
        <f t="shared" si="106"/>
        <v>December</v>
      </c>
      <c r="E1690" s="1" t="str">
        <f t="shared" si="107"/>
        <v>2023</v>
      </c>
      <c r="F1690" t="s">
        <v>13</v>
      </c>
      <c r="G1690" s="5">
        <v>13.394873562980001</v>
      </c>
      <c r="H1690" s="10">
        <v>5</v>
      </c>
      <c r="I1690" s="2">
        <v>210.00567042240499</v>
      </c>
      <c r="J1690" t="s">
        <v>12</v>
      </c>
    </row>
    <row r="1691" spans="1:10" x14ac:dyDescent="0.25">
      <c r="A1691" t="s">
        <v>352</v>
      </c>
      <c r="B1691" s="1">
        <f t="shared" si="104"/>
        <v>45264</v>
      </c>
      <c r="C1691" s="1" t="str">
        <f t="shared" si="105"/>
        <v>Monday</v>
      </c>
      <c r="D1691" s="1" t="str">
        <f t="shared" si="106"/>
        <v>December</v>
      </c>
      <c r="E1691" s="1" t="str">
        <f t="shared" si="107"/>
        <v>2023</v>
      </c>
      <c r="F1691" t="s">
        <v>16</v>
      </c>
      <c r="G1691" s="5">
        <v>711.55648857899996</v>
      </c>
      <c r="H1691" s="10">
        <v>15</v>
      </c>
      <c r="I1691" s="2">
        <v>82.314828246025002</v>
      </c>
      <c r="J1691" t="s">
        <v>12</v>
      </c>
    </row>
    <row r="1692" spans="1:10" x14ac:dyDescent="0.25">
      <c r="A1692" t="s">
        <v>353</v>
      </c>
      <c r="B1692" s="1">
        <f t="shared" si="104"/>
        <v>45265</v>
      </c>
      <c r="C1692" s="1" t="str">
        <f t="shared" si="105"/>
        <v>Tuesday</v>
      </c>
      <c r="D1692" s="1" t="str">
        <f t="shared" si="106"/>
        <v>December</v>
      </c>
      <c r="E1692" s="1" t="str">
        <f t="shared" si="107"/>
        <v>2023</v>
      </c>
      <c r="F1692" t="s">
        <v>7</v>
      </c>
      <c r="G1692" s="5">
        <v>1166.29219328728</v>
      </c>
      <c r="H1692" s="10">
        <v>7</v>
      </c>
      <c r="I1692" s="2">
        <v>239.97484993901199</v>
      </c>
      <c r="J1692" t="s">
        <v>12</v>
      </c>
    </row>
    <row r="1693" spans="1:10" x14ac:dyDescent="0.25">
      <c r="A1693" t="s">
        <v>353</v>
      </c>
      <c r="B1693" s="1">
        <f t="shared" si="104"/>
        <v>45265</v>
      </c>
      <c r="C1693" s="1" t="str">
        <f t="shared" si="105"/>
        <v>Tuesday</v>
      </c>
      <c r="D1693" s="1" t="str">
        <f t="shared" si="106"/>
        <v>December</v>
      </c>
      <c r="E1693" s="1" t="str">
        <f t="shared" si="107"/>
        <v>2023</v>
      </c>
      <c r="F1693" t="s">
        <v>9</v>
      </c>
      <c r="G1693" s="5">
        <v>1288.7249224849199</v>
      </c>
      <c r="H1693" s="10">
        <v>10</v>
      </c>
      <c r="I1693" s="2">
        <v>232.30311764431701</v>
      </c>
      <c r="J1693" t="s">
        <v>12</v>
      </c>
    </row>
    <row r="1694" spans="1:10" x14ac:dyDescent="0.25">
      <c r="A1694" t="s">
        <v>353</v>
      </c>
      <c r="B1694" s="1">
        <f t="shared" si="104"/>
        <v>45265</v>
      </c>
      <c r="C1694" s="1" t="str">
        <f t="shared" si="105"/>
        <v>Tuesday</v>
      </c>
      <c r="D1694" s="1" t="str">
        <f t="shared" si="106"/>
        <v>December</v>
      </c>
      <c r="E1694" s="1" t="str">
        <f t="shared" si="107"/>
        <v>2023</v>
      </c>
      <c r="F1694" t="s">
        <v>11</v>
      </c>
      <c r="G1694" s="5">
        <v>746.29868651766003</v>
      </c>
      <c r="H1694" s="10">
        <v>16</v>
      </c>
      <c r="I1694" s="2">
        <v>102.322879742059</v>
      </c>
      <c r="J1694" t="s">
        <v>10</v>
      </c>
    </row>
    <row r="1695" spans="1:10" x14ac:dyDescent="0.25">
      <c r="A1695" t="s">
        <v>353</v>
      </c>
      <c r="B1695" s="1">
        <f t="shared" si="104"/>
        <v>45265</v>
      </c>
      <c r="C1695" s="1" t="str">
        <f t="shared" si="105"/>
        <v>Tuesday</v>
      </c>
      <c r="D1695" s="1" t="str">
        <f t="shared" si="106"/>
        <v>December</v>
      </c>
      <c r="E1695" s="1" t="str">
        <f t="shared" si="107"/>
        <v>2023</v>
      </c>
      <c r="F1695" t="s">
        <v>13</v>
      </c>
      <c r="G1695" s="5">
        <v>995.77312279980003</v>
      </c>
      <c r="H1695" s="10">
        <v>18</v>
      </c>
      <c r="I1695" s="2">
        <v>137.583060562996</v>
      </c>
      <c r="J1695" t="s">
        <v>8</v>
      </c>
    </row>
    <row r="1696" spans="1:10" x14ac:dyDescent="0.25">
      <c r="A1696" t="s">
        <v>353</v>
      </c>
      <c r="B1696" s="1">
        <f t="shared" si="104"/>
        <v>45265</v>
      </c>
      <c r="C1696" s="1" t="str">
        <f t="shared" si="105"/>
        <v>Tuesday</v>
      </c>
      <c r="D1696" s="1" t="str">
        <f t="shared" si="106"/>
        <v>December</v>
      </c>
      <c r="E1696" s="1" t="str">
        <f t="shared" si="107"/>
        <v>2023</v>
      </c>
      <c r="F1696" t="s">
        <v>16</v>
      </c>
      <c r="G1696" s="5">
        <v>131.97871499999999</v>
      </c>
      <c r="H1696" s="10">
        <v>8</v>
      </c>
      <c r="I1696" s="2">
        <v>233.72364942780999</v>
      </c>
      <c r="J1696" t="s">
        <v>12</v>
      </c>
    </row>
    <row r="1697" spans="1:10" x14ac:dyDescent="0.25">
      <c r="A1697" t="s">
        <v>354</v>
      </c>
      <c r="B1697" s="1">
        <f t="shared" si="104"/>
        <v>45266</v>
      </c>
      <c r="C1697" s="1" t="str">
        <f t="shared" si="105"/>
        <v>Wednesday</v>
      </c>
      <c r="D1697" s="1" t="str">
        <f t="shared" si="106"/>
        <v>December</v>
      </c>
      <c r="E1697" s="1" t="str">
        <f t="shared" si="107"/>
        <v>2023</v>
      </c>
      <c r="F1697" t="s">
        <v>7</v>
      </c>
      <c r="G1697" s="5">
        <v>1384.64722183</v>
      </c>
      <c r="H1697" s="10">
        <v>19</v>
      </c>
      <c r="I1697" s="2">
        <v>222.40692019093601</v>
      </c>
      <c r="J1697" t="s">
        <v>14</v>
      </c>
    </row>
    <row r="1698" spans="1:10" x14ac:dyDescent="0.25">
      <c r="A1698" t="s">
        <v>354</v>
      </c>
      <c r="B1698" s="1">
        <f t="shared" si="104"/>
        <v>45266</v>
      </c>
      <c r="C1698" s="1" t="str">
        <f t="shared" si="105"/>
        <v>Wednesday</v>
      </c>
      <c r="D1698" s="1" t="str">
        <f t="shared" si="106"/>
        <v>December</v>
      </c>
      <c r="E1698" s="1" t="str">
        <f t="shared" si="107"/>
        <v>2023</v>
      </c>
      <c r="F1698" t="s">
        <v>9</v>
      </c>
      <c r="G1698" s="5">
        <v>1176.3567664413199</v>
      </c>
      <c r="H1698" s="10">
        <v>4</v>
      </c>
      <c r="I1698" s="2">
        <v>374.38839634554802</v>
      </c>
      <c r="J1698" t="s">
        <v>10</v>
      </c>
    </row>
    <row r="1699" spans="1:10" x14ac:dyDescent="0.25">
      <c r="A1699" t="s">
        <v>354</v>
      </c>
      <c r="B1699" s="1">
        <f t="shared" si="104"/>
        <v>45266</v>
      </c>
      <c r="C1699" s="1" t="str">
        <f t="shared" si="105"/>
        <v>Wednesday</v>
      </c>
      <c r="D1699" s="1" t="str">
        <f t="shared" si="106"/>
        <v>December</v>
      </c>
      <c r="E1699" s="1" t="str">
        <f t="shared" si="107"/>
        <v>2023</v>
      </c>
      <c r="F1699" t="s">
        <v>11</v>
      </c>
      <c r="G1699" s="5">
        <v>1185.9216354186001</v>
      </c>
      <c r="H1699" s="10">
        <v>12</v>
      </c>
      <c r="I1699" s="2">
        <v>327.833591157304</v>
      </c>
      <c r="J1699" t="s">
        <v>10</v>
      </c>
    </row>
    <row r="1700" spans="1:10" x14ac:dyDescent="0.25">
      <c r="A1700" t="s">
        <v>354</v>
      </c>
      <c r="B1700" s="1">
        <f t="shared" si="104"/>
        <v>45266</v>
      </c>
      <c r="C1700" s="1" t="str">
        <f t="shared" si="105"/>
        <v>Wednesday</v>
      </c>
      <c r="D1700" s="1" t="str">
        <f t="shared" si="106"/>
        <v>December</v>
      </c>
      <c r="E1700" s="1" t="str">
        <f t="shared" si="107"/>
        <v>2023</v>
      </c>
      <c r="F1700" t="s">
        <v>13</v>
      </c>
      <c r="G1700" s="5">
        <v>145.25569929700001</v>
      </c>
      <c r="H1700" s="10">
        <v>18</v>
      </c>
      <c r="I1700" s="2">
        <v>222.731652939583</v>
      </c>
      <c r="J1700" t="s">
        <v>14</v>
      </c>
    </row>
    <row r="1701" spans="1:10" x14ac:dyDescent="0.25">
      <c r="A1701" t="s">
        <v>354</v>
      </c>
      <c r="B1701" s="1">
        <f t="shared" si="104"/>
        <v>45266</v>
      </c>
      <c r="C1701" s="1" t="str">
        <f t="shared" si="105"/>
        <v>Wednesday</v>
      </c>
      <c r="D1701" s="1" t="str">
        <f t="shared" si="106"/>
        <v>December</v>
      </c>
      <c r="E1701" s="1" t="str">
        <f t="shared" si="107"/>
        <v>2023</v>
      </c>
      <c r="F1701" t="s">
        <v>16</v>
      </c>
      <c r="G1701" s="5">
        <v>83.896257887740006</v>
      </c>
      <c r="H1701" s="10">
        <v>2</v>
      </c>
      <c r="I1701" s="2">
        <v>230.04862390480801</v>
      </c>
      <c r="J1701" t="s">
        <v>14</v>
      </c>
    </row>
    <row r="1702" spans="1:10" x14ac:dyDescent="0.25">
      <c r="A1702" t="s">
        <v>355</v>
      </c>
      <c r="B1702" s="1">
        <f t="shared" si="104"/>
        <v>45267</v>
      </c>
      <c r="C1702" s="1" t="str">
        <f t="shared" si="105"/>
        <v>Thursday</v>
      </c>
      <c r="D1702" s="1" t="str">
        <f t="shared" si="106"/>
        <v>December</v>
      </c>
      <c r="E1702" s="1" t="str">
        <f t="shared" si="107"/>
        <v>2023</v>
      </c>
      <c r="F1702" t="s">
        <v>7</v>
      </c>
      <c r="G1702" s="5">
        <v>125.67692388952</v>
      </c>
      <c r="H1702" s="10">
        <v>19</v>
      </c>
      <c r="I1702" s="2">
        <v>289.25681833369299</v>
      </c>
      <c r="J1702" t="s">
        <v>14</v>
      </c>
    </row>
    <row r="1703" spans="1:10" x14ac:dyDescent="0.25">
      <c r="A1703" t="s">
        <v>355</v>
      </c>
      <c r="B1703" s="1">
        <f t="shared" si="104"/>
        <v>45267</v>
      </c>
      <c r="C1703" s="1" t="str">
        <f t="shared" si="105"/>
        <v>Thursday</v>
      </c>
      <c r="D1703" s="1" t="str">
        <f t="shared" si="106"/>
        <v>December</v>
      </c>
      <c r="E1703" s="1" t="str">
        <f t="shared" si="107"/>
        <v>2023</v>
      </c>
      <c r="F1703" t="s">
        <v>9</v>
      </c>
      <c r="G1703" s="5">
        <v>957.55424196960996</v>
      </c>
      <c r="H1703" s="10">
        <v>2</v>
      </c>
      <c r="I1703" s="2">
        <v>126.88872587803699</v>
      </c>
      <c r="J1703" t="s">
        <v>8</v>
      </c>
    </row>
    <row r="1704" spans="1:10" x14ac:dyDescent="0.25">
      <c r="A1704" t="s">
        <v>355</v>
      </c>
      <c r="B1704" s="1">
        <f t="shared" si="104"/>
        <v>45267</v>
      </c>
      <c r="C1704" s="1" t="str">
        <f t="shared" si="105"/>
        <v>Thursday</v>
      </c>
      <c r="D1704" s="1" t="str">
        <f t="shared" si="106"/>
        <v>December</v>
      </c>
      <c r="E1704" s="1" t="str">
        <f t="shared" si="107"/>
        <v>2023</v>
      </c>
      <c r="F1704" t="s">
        <v>11</v>
      </c>
      <c r="G1704" s="5">
        <v>196.41289572443</v>
      </c>
      <c r="H1704" s="10">
        <v>18</v>
      </c>
      <c r="I1704" s="2">
        <v>118.677013270055</v>
      </c>
      <c r="J1704" t="s">
        <v>12</v>
      </c>
    </row>
    <row r="1705" spans="1:10" x14ac:dyDescent="0.25">
      <c r="A1705" t="s">
        <v>355</v>
      </c>
      <c r="B1705" s="1">
        <f t="shared" si="104"/>
        <v>45267</v>
      </c>
      <c r="C1705" s="1" t="str">
        <f t="shared" si="105"/>
        <v>Thursday</v>
      </c>
      <c r="D1705" s="1" t="str">
        <f t="shared" si="106"/>
        <v>December</v>
      </c>
      <c r="E1705" s="1" t="str">
        <f t="shared" si="107"/>
        <v>2023</v>
      </c>
      <c r="F1705" t="s">
        <v>13</v>
      </c>
      <c r="G1705" s="5">
        <v>856.43859873113001</v>
      </c>
      <c r="H1705" s="10">
        <v>3</v>
      </c>
      <c r="I1705" s="2">
        <v>340.92543391883402</v>
      </c>
      <c r="J1705" t="s">
        <v>10</v>
      </c>
    </row>
    <row r="1706" spans="1:10" x14ac:dyDescent="0.25">
      <c r="A1706" t="s">
        <v>355</v>
      </c>
      <c r="B1706" s="1">
        <f t="shared" si="104"/>
        <v>45267</v>
      </c>
      <c r="C1706" s="1" t="str">
        <f t="shared" si="105"/>
        <v>Thursday</v>
      </c>
      <c r="D1706" s="1" t="str">
        <f t="shared" si="106"/>
        <v>December</v>
      </c>
      <c r="E1706" s="1" t="str">
        <f t="shared" si="107"/>
        <v>2023</v>
      </c>
      <c r="F1706" t="s">
        <v>16</v>
      </c>
      <c r="G1706" s="5">
        <v>1354.4731492574001</v>
      </c>
      <c r="H1706" s="10">
        <v>7</v>
      </c>
      <c r="I1706" s="2">
        <v>161.00892414856901</v>
      </c>
      <c r="J1706" t="s">
        <v>14</v>
      </c>
    </row>
    <row r="1707" spans="1:10" x14ac:dyDescent="0.25">
      <c r="A1707" t="s">
        <v>356</v>
      </c>
      <c r="B1707" s="1">
        <f t="shared" si="104"/>
        <v>45268</v>
      </c>
      <c r="C1707" s="1" t="str">
        <f t="shared" si="105"/>
        <v>Friday</v>
      </c>
      <c r="D1707" s="1" t="str">
        <f t="shared" si="106"/>
        <v>December</v>
      </c>
      <c r="E1707" s="1" t="str">
        <f t="shared" si="107"/>
        <v>2023</v>
      </c>
      <c r="F1707" t="s">
        <v>7</v>
      </c>
      <c r="G1707" s="5">
        <v>173.96215843780001</v>
      </c>
      <c r="H1707" s="10">
        <v>11</v>
      </c>
      <c r="I1707" s="2">
        <v>186.899876102501</v>
      </c>
      <c r="J1707" t="s">
        <v>8</v>
      </c>
    </row>
    <row r="1708" spans="1:10" x14ac:dyDescent="0.25">
      <c r="A1708" t="s">
        <v>356</v>
      </c>
      <c r="B1708" s="1">
        <f t="shared" si="104"/>
        <v>45268</v>
      </c>
      <c r="C1708" s="1" t="str">
        <f t="shared" si="105"/>
        <v>Friday</v>
      </c>
      <c r="D1708" s="1" t="str">
        <f t="shared" si="106"/>
        <v>December</v>
      </c>
      <c r="E1708" s="1" t="str">
        <f t="shared" si="107"/>
        <v>2023</v>
      </c>
      <c r="F1708" t="s">
        <v>9</v>
      </c>
      <c r="G1708" s="5">
        <v>975.26595927000005</v>
      </c>
      <c r="H1708" s="10">
        <v>12</v>
      </c>
      <c r="I1708" s="2">
        <v>102.15824973926701</v>
      </c>
      <c r="J1708" t="s">
        <v>10</v>
      </c>
    </row>
    <row r="1709" spans="1:10" x14ac:dyDescent="0.25">
      <c r="A1709" t="s">
        <v>356</v>
      </c>
      <c r="B1709" s="1">
        <f t="shared" si="104"/>
        <v>45268</v>
      </c>
      <c r="C1709" s="1" t="str">
        <f t="shared" si="105"/>
        <v>Friday</v>
      </c>
      <c r="D1709" s="1" t="str">
        <f t="shared" si="106"/>
        <v>December</v>
      </c>
      <c r="E1709" s="1" t="str">
        <f t="shared" si="107"/>
        <v>2023</v>
      </c>
      <c r="F1709" t="s">
        <v>11</v>
      </c>
      <c r="G1709" s="5">
        <v>1629.92751949796</v>
      </c>
      <c r="H1709" s="10">
        <v>13</v>
      </c>
      <c r="I1709" s="2">
        <v>597.57047363363495</v>
      </c>
      <c r="J1709" t="s">
        <v>14</v>
      </c>
    </row>
    <row r="1710" spans="1:10" x14ac:dyDescent="0.25">
      <c r="A1710" t="s">
        <v>356</v>
      </c>
      <c r="B1710" s="1">
        <f t="shared" si="104"/>
        <v>45268</v>
      </c>
      <c r="C1710" s="1" t="str">
        <f t="shared" si="105"/>
        <v>Friday</v>
      </c>
      <c r="D1710" s="1" t="str">
        <f t="shared" si="106"/>
        <v>December</v>
      </c>
      <c r="E1710" s="1" t="str">
        <f t="shared" si="107"/>
        <v>2023</v>
      </c>
      <c r="F1710" t="s">
        <v>13</v>
      </c>
      <c r="G1710" s="5">
        <v>227.94272689557999</v>
      </c>
      <c r="H1710" s="10">
        <v>19</v>
      </c>
      <c r="I1710" s="2">
        <v>61.534381338193803</v>
      </c>
      <c r="J1710" t="s">
        <v>8</v>
      </c>
    </row>
    <row r="1711" spans="1:10" x14ac:dyDescent="0.25">
      <c r="A1711" t="s">
        <v>356</v>
      </c>
      <c r="B1711" s="1">
        <f t="shared" si="104"/>
        <v>45268</v>
      </c>
      <c r="C1711" s="1" t="str">
        <f t="shared" si="105"/>
        <v>Friday</v>
      </c>
      <c r="D1711" s="1" t="str">
        <f t="shared" si="106"/>
        <v>December</v>
      </c>
      <c r="E1711" s="1" t="str">
        <f t="shared" si="107"/>
        <v>2023</v>
      </c>
      <c r="F1711" t="s">
        <v>16</v>
      </c>
      <c r="G1711" s="5">
        <v>97.869938300000001</v>
      </c>
      <c r="H1711" s="10">
        <v>18</v>
      </c>
      <c r="I1711" s="2">
        <v>105.17470614229801</v>
      </c>
      <c r="J1711" t="s">
        <v>10</v>
      </c>
    </row>
    <row r="1712" spans="1:10" x14ac:dyDescent="0.25">
      <c r="A1712" t="s">
        <v>357</v>
      </c>
      <c r="B1712" s="1">
        <f t="shared" si="104"/>
        <v>45269</v>
      </c>
      <c r="C1712" s="1" t="str">
        <f t="shared" si="105"/>
        <v>Saturday</v>
      </c>
      <c r="D1712" s="1" t="str">
        <f t="shared" si="106"/>
        <v>December</v>
      </c>
      <c r="E1712" s="1" t="str">
        <f t="shared" si="107"/>
        <v>2023</v>
      </c>
      <c r="F1712" t="s">
        <v>7</v>
      </c>
      <c r="G1712" s="5">
        <v>75.252646538099995</v>
      </c>
      <c r="H1712" s="10">
        <v>2</v>
      </c>
      <c r="I1712" s="2">
        <v>274.34325951622202</v>
      </c>
      <c r="J1712" t="s">
        <v>12</v>
      </c>
    </row>
    <row r="1713" spans="1:10" x14ac:dyDescent="0.25">
      <c r="A1713" t="s">
        <v>357</v>
      </c>
      <c r="B1713" s="1">
        <f t="shared" si="104"/>
        <v>45269</v>
      </c>
      <c r="C1713" s="1" t="str">
        <f t="shared" si="105"/>
        <v>Saturday</v>
      </c>
      <c r="D1713" s="1" t="str">
        <f t="shared" si="106"/>
        <v>December</v>
      </c>
      <c r="E1713" s="1" t="str">
        <f t="shared" si="107"/>
        <v>2023</v>
      </c>
      <c r="F1713" t="s">
        <v>9</v>
      </c>
      <c r="G1713" s="5">
        <v>578.57798789661001</v>
      </c>
      <c r="H1713" s="10">
        <v>3</v>
      </c>
      <c r="I1713" s="2">
        <v>210.830833463207</v>
      </c>
      <c r="J1713" t="s">
        <v>14</v>
      </c>
    </row>
    <row r="1714" spans="1:10" x14ac:dyDescent="0.25">
      <c r="A1714" t="s">
        <v>357</v>
      </c>
      <c r="B1714" s="1">
        <f t="shared" si="104"/>
        <v>45269</v>
      </c>
      <c r="C1714" s="1" t="str">
        <f t="shared" si="105"/>
        <v>Saturday</v>
      </c>
      <c r="D1714" s="1" t="str">
        <f t="shared" si="106"/>
        <v>December</v>
      </c>
      <c r="E1714" s="1" t="str">
        <f t="shared" si="107"/>
        <v>2023</v>
      </c>
      <c r="F1714" t="s">
        <v>11</v>
      </c>
      <c r="G1714" s="5">
        <v>817.59815711882004</v>
      </c>
      <c r="H1714" s="10">
        <v>17</v>
      </c>
      <c r="I1714" s="2">
        <v>204.180911433125</v>
      </c>
      <c r="J1714" t="s">
        <v>12</v>
      </c>
    </row>
    <row r="1715" spans="1:10" x14ac:dyDescent="0.25">
      <c r="A1715" t="s">
        <v>357</v>
      </c>
      <c r="B1715" s="1">
        <f t="shared" si="104"/>
        <v>45269</v>
      </c>
      <c r="C1715" s="1" t="str">
        <f t="shared" si="105"/>
        <v>Saturday</v>
      </c>
      <c r="D1715" s="1" t="str">
        <f t="shared" si="106"/>
        <v>December</v>
      </c>
      <c r="E1715" s="1" t="str">
        <f t="shared" si="107"/>
        <v>2023</v>
      </c>
      <c r="F1715" t="s">
        <v>13</v>
      </c>
      <c r="G1715" s="5">
        <v>695.65681987774997</v>
      </c>
      <c r="H1715" s="10">
        <v>14</v>
      </c>
      <c r="I1715" s="2">
        <v>74.153143148410507</v>
      </c>
      <c r="J1715" t="s">
        <v>8</v>
      </c>
    </row>
    <row r="1716" spans="1:10" x14ac:dyDescent="0.25">
      <c r="A1716" t="s">
        <v>357</v>
      </c>
      <c r="B1716" s="1">
        <f t="shared" si="104"/>
        <v>45269</v>
      </c>
      <c r="C1716" s="1" t="str">
        <f t="shared" si="105"/>
        <v>Saturday</v>
      </c>
      <c r="D1716" s="1" t="str">
        <f t="shared" si="106"/>
        <v>December</v>
      </c>
      <c r="E1716" s="1" t="str">
        <f t="shared" si="107"/>
        <v>2023</v>
      </c>
      <c r="F1716" t="s">
        <v>16</v>
      </c>
      <c r="G1716" s="5">
        <v>933.36711422240001</v>
      </c>
      <c r="H1716" s="10">
        <v>5</v>
      </c>
      <c r="I1716" s="2">
        <v>121.60137615406499</v>
      </c>
      <c r="J1716" t="s">
        <v>12</v>
      </c>
    </row>
    <row r="1717" spans="1:10" x14ac:dyDescent="0.25">
      <c r="A1717" t="s">
        <v>358</v>
      </c>
      <c r="B1717" s="1">
        <f t="shared" si="104"/>
        <v>45270</v>
      </c>
      <c r="C1717" s="1" t="str">
        <f t="shared" si="105"/>
        <v>Sunday</v>
      </c>
      <c r="D1717" s="1" t="str">
        <f t="shared" si="106"/>
        <v>December</v>
      </c>
      <c r="E1717" s="1" t="str">
        <f t="shared" si="107"/>
        <v>2023</v>
      </c>
      <c r="F1717" t="s">
        <v>7</v>
      </c>
      <c r="G1717" s="5">
        <v>887.63896565499999</v>
      </c>
      <c r="H1717" s="10">
        <v>2</v>
      </c>
      <c r="I1717" s="2">
        <v>355.00138049999998</v>
      </c>
      <c r="J1717" t="s">
        <v>10</v>
      </c>
    </row>
    <row r="1718" spans="1:10" x14ac:dyDescent="0.25">
      <c r="A1718" t="s">
        <v>358</v>
      </c>
      <c r="B1718" s="1">
        <f t="shared" si="104"/>
        <v>45270</v>
      </c>
      <c r="C1718" s="1" t="str">
        <f t="shared" si="105"/>
        <v>Sunday</v>
      </c>
      <c r="D1718" s="1" t="str">
        <f t="shared" si="106"/>
        <v>December</v>
      </c>
      <c r="E1718" s="1" t="str">
        <f t="shared" si="107"/>
        <v>2023</v>
      </c>
      <c r="F1718" t="s">
        <v>9</v>
      </c>
      <c r="G1718" s="5">
        <v>744.28397177767999</v>
      </c>
      <c r="H1718" s="10">
        <v>1</v>
      </c>
      <c r="I1718" s="2">
        <v>279.991026412314</v>
      </c>
      <c r="J1718" t="s">
        <v>14</v>
      </c>
    </row>
    <row r="1719" spans="1:10" x14ac:dyDescent="0.25">
      <c r="A1719" t="s">
        <v>358</v>
      </c>
      <c r="B1719" s="1">
        <f t="shared" si="104"/>
        <v>45270</v>
      </c>
      <c r="C1719" s="1" t="str">
        <f t="shared" si="105"/>
        <v>Sunday</v>
      </c>
      <c r="D1719" s="1" t="str">
        <f t="shared" si="106"/>
        <v>December</v>
      </c>
      <c r="E1719" s="1" t="str">
        <f t="shared" si="107"/>
        <v>2023</v>
      </c>
      <c r="F1719" t="s">
        <v>11</v>
      </c>
      <c r="G1719" s="5">
        <v>1142.69683276</v>
      </c>
      <c r="H1719" s="10">
        <v>11</v>
      </c>
      <c r="I1719" s="2">
        <v>139.12037880101201</v>
      </c>
      <c r="J1719" t="s">
        <v>14</v>
      </c>
    </row>
    <row r="1720" spans="1:10" x14ac:dyDescent="0.25">
      <c r="A1720" t="s">
        <v>358</v>
      </c>
      <c r="B1720" s="1">
        <f t="shared" si="104"/>
        <v>45270</v>
      </c>
      <c r="C1720" s="1" t="str">
        <f t="shared" si="105"/>
        <v>Sunday</v>
      </c>
      <c r="D1720" s="1" t="str">
        <f t="shared" si="106"/>
        <v>December</v>
      </c>
      <c r="E1720" s="1" t="str">
        <f t="shared" si="107"/>
        <v>2023</v>
      </c>
      <c r="F1720" t="s">
        <v>13</v>
      </c>
      <c r="G1720" s="5">
        <v>485.66378388245198</v>
      </c>
      <c r="H1720" s="10">
        <v>10</v>
      </c>
      <c r="I1720" s="2">
        <v>86.237948091189693</v>
      </c>
      <c r="J1720" t="s">
        <v>12</v>
      </c>
    </row>
    <row r="1721" spans="1:10" x14ac:dyDescent="0.25">
      <c r="A1721" t="s">
        <v>358</v>
      </c>
      <c r="B1721" s="1">
        <f t="shared" si="104"/>
        <v>45270</v>
      </c>
      <c r="C1721" s="1" t="str">
        <f t="shared" si="105"/>
        <v>Sunday</v>
      </c>
      <c r="D1721" s="1" t="str">
        <f t="shared" si="106"/>
        <v>December</v>
      </c>
      <c r="E1721" s="1" t="str">
        <f t="shared" si="107"/>
        <v>2023</v>
      </c>
      <c r="F1721" t="s">
        <v>16</v>
      </c>
      <c r="G1721" s="5">
        <v>147.53273174399999</v>
      </c>
      <c r="H1721" s="10">
        <v>14</v>
      </c>
      <c r="I1721" s="2">
        <v>231.061752147416</v>
      </c>
      <c r="J1721" t="s">
        <v>14</v>
      </c>
    </row>
    <row r="1722" spans="1:10" x14ac:dyDescent="0.25">
      <c r="A1722" t="s">
        <v>359</v>
      </c>
      <c r="B1722" s="1">
        <f t="shared" si="104"/>
        <v>45271</v>
      </c>
      <c r="C1722" s="1" t="str">
        <f t="shared" si="105"/>
        <v>Monday</v>
      </c>
      <c r="D1722" s="1" t="str">
        <f t="shared" si="106"/>
        <v>December</v>
      </c>
      <c r="E1722" s="1" t="str">
        <f t="shared" si="107"/>
        <v>2023</v>
      </c>
      <c r="F1722" t="s">
        <v>7</v>
      </c>
      <c r="G1722" s="5">
        <v>1212.449336447</v>
      </c>
      <c r="H1722" s="10">
        <v>8</v>
      </c>
      <c r="I1722" s="2">
        <v>209.82466551493499</v>
      </c>
      <c r="J1722" t="s">
        <v>14</v>
      </c>
    </row>
    <row r="1723" spans="1:10" x14ac:dyDescent="0.25">
      <c r="A1723" t="s">
        <v>359</v>
      </c>
      <c r="B1723" s="1">
        <f t="shared" si="104"/>
        <v>45271</v>
      </c>
      <c r="C1723" s="1" t="str">
        <f t="shared" si="105"/>
        <v>Monday</v>
      </c>
      <c r="D1723" s="1" t="str">
        <f t="shared" si="106"/>
        <v>December</v>
      </c>
      <c r="E1723" s="1" t="str">
        <f t="shared" si="107"/>
        <v>2023</v>
      </c>
      <c r="F1723" t="s">
        <v>9</v>
      </c>
      <c r="G1723" s="5">
        <v>199.34395275630999</v>
      </c>
      <c r="H1723" s="10">
        <v>5</v>
      </c>
      <c r="I1723" s="2">
        <v>144.50955869270899</v>
      </c>
      <c r="J1723" t="s">
        <v>12</v>
      </c>
    </row>
    <row r="1724" spans="1:10" x14ac:dyDescent="0.25">
      <c r="A1724" t="s">
        <v>359</v>
      </c>
      <c r="B1724" s="1">
        <f t="shared" si="104"/>
        <v>45271</v>
      </c>
      <c r="C1724" s="1" t="str">
        <f t="shared" si="105"/>
        <v>Monday</v>
      </c>
      <c r="D1724" s="1" t="str">
        <f t="shared" si="106"/>
        <v>December</v>
      </c>
      <c r="E1724" s="1" t="str">
        <f t="shared" si="107"/>
        <v>2023</v>
      </c>
      <c r="F1724" t="s">
        <v>11</v>
      </c>
      <c r="G1724" s="5">
        <v>882.43697383940003</v>
      </c>
      <c r="H1724" s="10">
        <v>15</v>
      </c>
      <c r="I1724" s="2">
        <v>92.296885341748194</v>
      </c>
      <c r="J1724" t="s">
        <v>8</v>
      </c>
    </row>
    <row r="1725" spans="1:10" x14ac:dyDescent="0.25">
      <c r="A1725" t="s">
        <v>359</v>
      </c>
      <c r="B1725" s="1">
        <f t="shared" si="104"/>
        <v>45271</v>
      </c>
      <c r="C1725" s="1" t="str">
        <f t="shared" si="105"/>
        <v>Monday</v>
      </c>
      <c r="D1725" s="1" t="str">
        <f t="shared" si="106"/>
        <v>December</v>
      </c>
      <c r="E1725" s="1" t="str">
        <f t="shared" si="107"/>
        <v>2023</v>
      </c>
      <c r="F1725" t="s">
        <v>13</v>
      </c>
      <c r="G1725" s="5">
        <v>694.67772769140004</v>
      </c>
      <c r="H1725" s="10">
        <v>2</v>
      </c>
      <c r="I1725" s="2">
        <v>144.82647422181299</v>
      </c>
      <c r="J1725" t="s">
        <v>14</v>
      </c>
    </row>
    <row r="1726" spans="1:10" x14ac:dyDescent="0.25">
      <c r="A1726" t="s">
        <v>359</v>
      </c>
      <c r="B1726" s="1">
        <f t="shared" si="104"/>
        <v>45271</v>
      </c>
      <c r="C1726" s="1" t="str">
        <f t="shared" si="105"/>
        <v>Monday</v>
      </c>
      <c r="D1726" s="1" t="str">
        <f t="shared" si="106"/>
        <v>December</v>
      </c>
      <c r="E1726" s="1" t="str">
        <f t="shared" si="107"/>
        <v>2023</v>
      </c>
      <c r="F1726" t="s">
        <v>16</v>
      </c>
      <c r="G1726" s="5">
        <v>851.44793554900002</v>
      </c>
      <c r="H1726" s="10">
        <v>14</v>
      </c>
      <c r="I1726" s="2">
        <v>130.151263987074</v>
      </c>
      <c r="J1726" t="s">
        <v>12</v>
      </c>
    </row>
    <row r="1727" spans="1:10" x14ac:dyDescent="0.25">
      <c r="A1727" t="s">
        <v>360</v>
      </c>
      <c r="B1727" s="1">
        <f t="shared" si="104"/>
        <v>45272</v>
      </c>
      <c r="C1727" s="1" t="str">
        <f t="shared" si="105"/>
        <v>Tuesday</v>
      </c>
      <c r="D1727" s="1" t="str">
        <f t="shared" si="106"/>
        <v>December</v>
      </c>
      <c r="E1727" s="1" t="str">
        <f t="shared" si="107"/>
        <v>2023</v>
      </c>
      <c r="F1727" t="s">
        <v>7</v>
      </c>
      <c r="G1727" s="5">
        <v>653.95227224563996</v>
      </c>
      <c r="H1727" s="10">
        <v>4</v>
      </c>
      <c r="I1727" s="2">
        <v>79.2077512360094</v>
      </c>
      <c r="J1727" t="s">
        <v>14</v>
      </c>
    </row>
    <row r="1728" spans="1:10" x14ac:dyDescent="0.25">
      <c r="A1728" t="s">
        <v>360</v>
      </c>
      <c r="B1728" s="1">
        <f t="shared" si="104"/>
        <v>45272</v>
      </c>
      <c r="C1728" s="1" t="str">
        <f t="shared" si="105"/>
        <v>Tuesday</v>
      </c>
      <c r="D1728" s="1" t="str">
        <f t="shared" si="106"/>
        <v>December</v>
      </c>
      <c r="E1728" s="1" t="str">
        <f t="shared" si="107"/>
        <v>2023</v>
      </c>
      <c r="F1728" t="s">
        <v>9</v>
      </c>
      <c r="G1728" s="5">
        <v>1399.6228578153</v>
      </c>
      <c r="H1728" s="10">
        <v>5</v>
      </c>
      <c r="I1728" s="2">
        <v>372.62129128376</v>
      </c>
      <c r="J1728" t="s">
        <v>10</v>
      </c>
    </row>
    <row r="1729" spans="1:10" x14ac:dyDescent="0.25">
      <c r="A1729" t="s">
        <v>360</v>
      </c>
      <c r="B1729" s="1">
        <f t="shared" si="104"/>
        <v>45272</v>
      </c>
      <c r="C1729" s="1" t="str">
        <f t="shared" si="105"/>
        <v>Tuesday</v>
      </c>
      <c r="D1729" s="1" t="str">
        <f t="shared" si="106"/>
        <v>December</v>
      </c>
      <c r="E1729" s="1" t="str">
        <f t="shared" si="107"/>
        <v>2023</v>
      </c>
      <c r="F1729" t="s">
        <v>11</v>
      </c>
      <c r="G1729" s="5">
        <v>441.68821236500003</v>
      </c>
      <c r="H1729" s="10">
        <v>15</v>
      </c>
      <c r="I1729" s="2">
        <v>94.3494228446107</v>
      </c>
      <c r="J1729" t="s">
        <v>14</v>
      </c>
    </row>
    <row r="1730" spans="1:10" x14ac:dyDescent="0.25">
      <c r="A1730" t="s">
        <v>360</v>
      </c>
      <c r="B1730" s="1">
        <f t="shared" si="104"/>
        <v>45272</v>
      </c>
      <c r="C1730" s="1" t="str">
        <f t="shared" si="105"/>
        <v>Tuesday</v>
      </c>
      <c r="D1730" s="1" t="str">
        <f t="shared" si="106"/>
        <v>December</v>
      </c>
      <c r="E1730" s="1" t="str">
        <f t="shared" si="107"/>
        <v>2023</v>
      </c>
      <c r="F1730" t="s">
        <v>13</v>
      </c>
      <c r="G1730" s="5">
        <v>87.952466636500006</v>
      </c>
      <c r="H1730" s="10">
        <v>8</v>
      </c>
      <c r="I1730" s="2">
        <v>313.56633858780498</v>
      </c>
      <c r="J1730" t="s">
        <v>10</v>
      </c>
    </row>
    <row r="1731" spans="1:10" x14ac:dyDescent="0.25">
      <c r="A1731" t="s">
        <v>360</v>
      </c>
      <c r="B1731" s="1">
        <f t="shared" ref="B1731:B1794" si="108">DATE(VALUE(RIGHT(A1731,4)),VALUE(LEFT(A1731,FIND("/",A1731)-1)),VALUE(MID(A1731,FIND("/",A1731)+1,FIND("/",A1731,FIND("/",A1731)+1)-FIND("/",A1731)-1)))</f>
        <v>45272</v>
      </c>
      <c r="C1731" s="1" t="str">
        <f t="shared" ref="C1731:C1794" si="109">TEXT(B1731,"DDDD")</f>
        <v>Tuesday</v>
      </c>
      <c r="D1731" s="1" t="str">
        <f t="shared" ref="D1731:D1794" si="110">TEXT(B1731,"MMMM")</f>
        <v>December</v>
      </c>
      <c r="E1731" s="1" t="str">
        <f t="shared" ref="E1731:E1794" si="111">TEXT(B1731,"YYYY")</f>
        <v>2023</v>
      </c>
      <c r="F1731" t="s">
        <v>16</v>
      </c>
      <c r="G1731" s="5">
        <v>698.36248241500004</v>
      </c>
      <c r="H1731" s="10">
        <v>7</v>
      </c>
      <c r="I1731" s="2">
        <v>89.700754439999997</v>
      </c>
      <c r="J1731" t="s">
        <v>12</v>
      </c>
    </row>
    <row r="1732" spans="1:10" x14ac:dyDescent="0.25">
      <c r="A1732" t="s">
        <v>361</v>
      </c>
      <c r="B1732" s="1">
        <f t="shared" si="108"/>
        <v>45273</v>
      </c>
      <c r="C1732" s="1" t="str">
        <f t="shared" si="109"/>
        <v>Wednesday</v>
      </c>
      <c r="D1732" s="1" t="str">
        <f t="shared" si="110"/>
        <v>December</v>
      </c>
      <c r="E1732" s="1" t="str">
        <f t="shared" si="111"/>
        <v>2023</v>
      </c>
      <c r="F1732" t="s">
        <v>7</v>
      </c>
      <c r="G1732" s="5">
        <v>1.67162527729</v>
      </c>
      <c r="H1732" s="10">
        <v>19</v>
      </c>
      <c r="I1732" s="2">
        <v>282.20426889994502</v>
      </c>
      <c r="J1732" t="s">
        <v>14</v>
      </c>
    </row>
    <row r="1733" spans="1:10" x14ac:dyDescent="0.25">
      <c r="A1733" t="s">
        <v>361</v>
      </c>
      <c r="B1733" s="1">
        <f t="shared" si="108"/>
        <v>45273</v>
      </c>
      <c r="C1733" s="1" t="str">
        <f t="shared" si="109"/>
        <v>Wednesday</v>
      </c>
      <c r="D1733" s="1" t="str">
        <f t="shared" si="110"/>
        <v>December</v>
      </c>
      <c r="E1733" s="1" t="str">
        <f t="shared" si="111"/>
        <v>2023</v>
      </c>
      <c r="F1733" t="s">
        <v>9</v>
      </c>
      <c r="G1733" s="5">
        <v>1529.89318211676</v>
      </c>
      <c r="H1733" s="10">
        <v>13</v>
      </c>
      <c r="I1733" s="2">
        <v>518.97979883821301</v>
      </c>
      <c r="J1733" t="s">
        <v>14</v>
      </c>
    </row>
    <row r="1734" spans="1:10" x14ac:dyDescent="0.25">
      <c r="A1734" t="s">
        <v>361</v>
      </c>
      <c r="B1734" s="1">
        <f t="shared" si="108"/>
        <v>45273</v>
      </c>
      <c r="C1734" s="1" t="str">
        <f t="shared" si="109"/>
        <v>Wednesday</v>
      </c>
      <c r="D1734" s="1" t="str">
        <f t="shared" si="110"/>
        <v>December</v>
      </c>
      <c r="E1734" s="1" t="str">
        <f t="shared" si="111"/>
        <v>2023</v>
      </c>
      <c r="F1734" t="s">
        <v>11</v>
      </c>
      <c r="G1734" s="5">
        <v>136.2585637791</v>
      </c>
      <c r="H1734" s="10">
        <v>7</v>
      </c>
      <c r="I1734" s="2">
        <v>157.711527414622</v>
      </c>
      <c r="J1734" t="s">
        <v>14</v>
      </c>
    </row>
    <row r="1735" spans="1:10" x14ac:dyDescent="0.25">
      <c r="A1735" t="s">
        <v>361</v>
      </c>
      <c r="B1735" s="1">
        <f t="shared" si="108"/>
        <v>45273</v>
      </c>
      <c r="C1735" s="1" t="str">
        <f t="shared" si="109"/>
        <v>Wednesday</v>
      </c>
      <c r="D1735" s="1" t="str">
        <f t="shared" si="110"/>
        <v>December</v>
      </c>
      <c r="E1735" s="1" t="str">
        <f t="shared" si="111"/>
        <v>2023</v>
      </c>
      <c r="F1735" t="s">
        <v>13</v>
      </c>
      <c r="G1735" s="5">
        <v>739.36247585214801</v>
      </c>
      <c r="H1735" s="10">
        <v>8</v>
      </c>
      <c r="I1735" s="2">
        <v>99.578582730452894</v>
      </c>
      <c r="J1735" t="s">
        <v>14</v>
      </c>
    </row>
    <row r="1736" spans="1:10" x14ac:dyDescent="0.25">
      <c r="A1736" t="s">
        <v>361</v>
      </c>
      <c r="B1736" s="1">
        <f t="shared" si="108"/>
        <v>45273</v>
      </c>
      <c r="C1736" s="1" t="str">
        <f t="shared" si="109"/>
        <v>Wednesday</v>
      </c>
      <c r="D1736" s="1" t="str">
        <f t="shared" si="110"/>
        <v>December</v>
      </c>
      <c r="E1736" s="1" t="str">
        <f t="shared" si="111"/>
        <v>2023</v>
      </c>
      <c r="F1736" t="s">
        <v>16</v>
      </c>
      <c r="G1736" s="5">
        <v>1643.5192623610001</v>
      </c>
      <c r="H1736" s="10">
        <v>15</v>
      </c>
      <c r="I1736" s="2">
        <v>652.84304063937805</v>
      </c>
      <c r="J1736" t="s">
        <v>14</v>
      </c>
    </row>
    <row r="1737" spans="1:10" x14ac:dyDescent="0.25">
      <c r="A1737" t="s">
        <v>362</v>
      </c>
      <c r="B1737" s="1">
        <f t="shared" si="108"/>
        <v>45274</v>
      </c>
      <c r="C1737" s="1" t="str">
        <f t="shared" si="109"/>
        <v>Thursday</v>
      </c>
      <c r="D1737" s="1" t="str">
        <f t="shared" si="110"/>
        <v>December</v>
      </c>
      <c r="E1737" s="1" t="str">
        <f t="shared" si="111"/>
        <v>2023</v>
      </c>
      <c r="F1737" t="s">
        <v>7</v>
      </c>
      <c r="G1737" s="5">
        <v>1268.4314273143</v>
      </c>
      <c r="H1737" s="10">
        <v>10</v>
      </c>
      <c r="I1737" s="2">
        <v>306.823140931887</v>
      </c>
      <c r="J1737" t="s">
        <v>12</v>
      </c>
    </row>
    <row r="1738" spans="1:10" x14ac:dyDescent="0.25">
      <c r="A1738" t="s">
        <v>362</v>
      </c>
      <c r="B1738" s="1">
        <f t="shared" si="108"/>
        <v>45274</v>
      </c>
      <c r="C1738" s="1" t="str">
        <f t="shared" si="109"/>
        <v>Thursday</v>
      </c>
      <c r="D1738" s="1" t="str">
        <f t="shared" si="110"/>
        <v>December</v>
      </c>
      <c r="E1738" s="1" t="str">
        <f t="shared" si="111"/>
        <v>2023</v>
      </c>
      <c r="F1738" t="s">
        <v>9</v>
      </c>
      <c r="G1738" s="5">
        <v>1.9443187189</v>
      </c>
      <c r="H1738" s="10">
        <v>6</v>
      </c>
      <c r="I1738" s="2">
        <v>129.33503692111401</v>
      </c>
      <c r="J1738" t="s">
        <v>14</v>
      </c>
    </row>
    <row r="1739" spans="1:10" x14ac:dyDescent="0.25">
      <c r="A1739" t="s">
        <v>362</v>
      </c>
      <c r="B1739" s="1">
        <f t="shared" si="108"/>
        <v>45274</v>
      </c>
      <c r="C1739" s="1" t="str">
        <f t="shared" si="109"/>
        <v>Thursday</v>
      </c>
      <c r="D1739" s="1" t="str">
        <f t="shared" si="110"/>
        <v>December</v>
      </c>
      <c r="E1739" s="1" t="str">
        <f t="shared" si="111"/>
        <v>2023</v>
      </c>
      <c r="F1739" t="s">
        <v>11</v>
      </c>
      <c r="G1739" s="5">
        <v>1368.997115316</v>
      </c>
      <c r="H1739" s="10">
        <v>12</v>
      </c>
      <c r="I1739" s="2">
        <v>399.01792507155602</v>
      </c>
      <c r="J1739" t="s">
        <v>12</v>
      </c>
    </row>
    <row r="1740" spans="1:10" x14ac:dyDescent="0.25">
      <c r="A1740" t="s">
        <v>362</v>
      </c>
      <c r="B1740" s="1">
        <f t="shared" si="108"/>
        <v>45274</v>
      </c>
      <c r="C1740" s="1" t="str">
        <f t="shared" si="109"/>
        <v>Thursday</v>
      </c>
      <c r="D1740" s="1" t="str">
        <f t="shared" si="110"/>
        <v>December</v>
      </c>
      <c r="E1740" s="1" t="str">
        <f t="shared" si="111"/>
        <v>2023</v>
      </c>
      <c r="F1740" t="s">
        <v>13</v>
      </c>
      <c r="G1740" s="5">
        <v>1359.33775664271</v>
      </c>
      <c r="H1740" s="10">
        <v>1</v>
      </c>
      <c r="I1740" s="2">
        <v>476.668187989069</v>
      </c>
      <c r="J1740" t="s">
        <v>14</v>
      </c>
    </row>
    <row r="1741" spans="1:10" x14ac:dyDescent="0.25">
      <c r="A1741" t="s">
        <v>362</v>
      </c>
      <c r="B1741" s="1">
        <f t="shared" si="108"/>
        <v>45274</v>
      </c>
      <c r="C1741" s="1" t="str">
        <f t="shared" si="109"/>
        <v>Thursday</v>
      </c>
      <c r="D1741" s="1" t="str">
        <f t="shared" si="110"/>
        <v>December</v>
      </c>
      <c r="E1741" s="1" t="str">
        <f t="shared" si="111"/>
        <v>2023</v>
      </c>
      <c r="F1741" t="s">
        <v>16</v>
      </c>
      <c r="G1741" s="5">
        <v>1373.4143734551999</v>
      </c>
      <c r="H1741" s="10">
        <v>8</v>
      </c>
      <c r="I1741" s="2">
        <v>242.68213705240601</v>
      </c>
      <c r="J1741" t="s">
        <v>14</v>
      </c>
    </row>
    <row r="1742" spans="1:10" x14ac:dyDescent="0.25">
      <c r="A1742" t="s">
        <v>363</v>
      </c>
      <c r="B1742" s="1">
        <f t="shared" si="108"/>
        <v>45275</v>
      </c>
      <c r="C1742" s="1" t="str">
        <f t="shared" si="109"/>
        <v>Friday</v>
      </c>
      <c r="D1742" s="1" t="str">
        <f t="shared" si="110"/>
        <v>December</v>
      </c>
      <c r="E1742" s="1" t="str">
        <f t="shared" si="111"/>
        <v>2023</v>
      </c>
      <c r="F1742" t="s">
        <v>7</v>
      </c>
      <c r="G1742" s="5">
        <v>1321.3718398230001</v>
      </c>
      <c r="H1742" s="10">
        <v>8</v>
      </c>
      <c r="I1742" s="2">
        <v>450.77447115768899</v>
      </c>
      <c r="J1742" t="s">
        <v>14</v>
      </c>
    </row>
    <row r="1743" spans="1:10" x14ac:dyDescent="0.25">
      <c r="A1743" t="s">
        <v>363</v>
      </c>
      <c r="B1743" s="1">
        <f t="shared" si="108"/>
        <v>45275</v>
      </c>
      <c r="C1743" s="1" t="str">
        <f t="shared" si="109"/>
        <v>Friday</v>
      </c>
      <c r="D1743" s="1" t="str">
        <f t="shared" si="110"/>
        <v>December</v>
      </c>
      <c r="E1743" s="1" t="str">
        <f t="shared" si="111"/>
        <v>2023</v>
      </c>
      <c r="F1743" t="s">
        <v>9</v>
      </c>
      <c r="G1743" s="5">
        <v>198.18678785200001</v>
      </c>
      <c r="H1743" s="10">
        <v>1</v>
      </c>
      <c r="I1743" s="2">
        <v>344.92093096891</v>
      </c>
      <c r="J1743" t="s">
        <v>8</v>
      </c>
    </row>
    <row r="1744" spans="1:10" x14ac:dyDescent="0.25">
      <c r="A1744" t="s">
        <v>363</v>
      </c>
      <c r="B1744" s="1">
        <f t="shared" si="108"/>
        <v>45275</v>
      </c>
      <c r="C1744" s="1" t="str">
        <f t="shared" si="109"/>
        <v>Friday</v>
      </c>
      <c r="D1744" s="1" t="str">
        <f t="shared" si="110"/>
        <v>December</v>
      </c>
      <c r="E1744" s="1" t="str">
        <f t="shared" si="111"/>
        <v>2023</v>
      </c>
      <c r="F1744" t="s">
        <v>11</v>
      </c>
      <c r="G1744" s="5">
        <v>664.25791851500003</v>
      </c>
      <c r="H1744" s="10">
        <v>17</v>
      </c>
      <c r="I1744" s="2">
        <v>152.4781447</v>
      </c>
      <c r="J1744" t="s">
        <v>8</v>
      </c>
    </row>
    <row r="1745" spans="1:10" x14ac:dyDescent="0.25">
      <c r="A1745" t="s">
        <v>363</v>
      </c>
      <c r="B1745" s="1">
        <f t="shared" si="108"/>
        <v>45275</v>
      </c>
      <c r="C1745" s="1" t="str">
        <f t="shared" si="109"/>
        <v>Friday</v>
      </c>
      <c r="D1745" s="1" t="str">
        <f t="shared" si="110"/>
        <v>December</v>
      </c>
      <c r="E1745" s="1" t="str">
        <f t="shared" si="111"/>
        <v>2023</v>
      </c>
      <c r="F1745" t="s">
        <v>13</v>
      </c>
      <c r="G1745" s="5">
        <v>947.91129287399997</v>
      </c>
      <c r="H1745" s="10">
        <v>10</v>
      </c>
      <c r="I1745" s="2">
        <v>223.389068675234</v>
      </c>
      <c r="J1745" t="s">
        <v>14</v>
      </c>
    </row>
    <row r="1746" spans="1:10" x14ac:dyDescent="0.25">
      <c r="A1746" t="s">
        <v>363</v>
      </c>
      <c r="B1746" s="1">
        <f t="shared" si="108"/>
        <v>45275</v>
      </c>
      <c r="C1746" s="1" t="str">
        <f t="shared" si="109"/>
        <v>Friday</v>
      </c>
      <c r="D1746" s="1" t="str">
        <f t="shared" si="110"/>
        <v>December</v>
      </c>
      <c r="E1746" s="1" t="str">
        <f t="shared" si="111"/>
        <v>2023</v>
      </c>
      <c r="F1746" t="s">
        <v>16</v>
      </c>
      <c r="G1746" s="5">
        <v>676.97336184699998</v>
      </c>
      <c r="H1746" s="10">
        <v>14</v>
      </c>
      <c r="I1746" s="2">
        <v>214.82830285193299</v>
      </c>
      <c r="J1746" t="s">
        <v>12</v>
      </c>
    </row>
    <row r="1747" spans="1:10" x14ac:dyDescent="0.25">
      <c r="A1747" t="s">
        <v>364</v>
      </c>
      <c r="B1747" s="1">
        <f t="shared" si="108"/>
        <v>45276</v>
      </c>
      <c r="C1747" s="1" t="str">
        <f t="shared" si="109"/>
        <v>Saturday</v>
      </c>
      <c r="D1747" s="1" t="str">
        <f t="shared" si="110"/>
        <v>December</v>
      </c>
      <c r="E1747" s="1" t="str">
        <f t="shared" si="111"/>
        <v>2023</v>
      </c>
      <c r="F1747" t="s">
        <v>7</v>
      </c>
      <c r="G1747" s="5">
        <v>131.76539846669999</v>
      </c>
      <c r="H1747" s="10">
        <v>11</v>
      </c>
      <c r="I1747" s="2">
        <v>407.59552367435703</v>
      </c>
      <c r="J1747" t="s">
        <v>10</v>
      </c>
    </row>
    <row r="1748" spans="1:10" x14ac:dyDescent="0.25">
      <c r="A1748" t="s">
        <v>364</v>
      </c>
      <c r="B1748" s="1">
        <f t="shared" si="108"/>
        <v>45276</v>
      </c>
      <c r="C1748" s="1" t="str">
        <f t="shared" si="109"/>
        <v>Saturday</v>
      </c>
      <c r="D1748" s="1" t="str">
        <f t="shared" si="110"/>
        <v>December</v>
      </c>
      <c r="E1748" s="1" t="str">
        <f t="shared" si="111"/>
        <v>2023</v>
      </c>
      <c r="F1748" t="s">
        <v>9</v>
      </c>
      <c r="G1748" s="5">
        <v>1458.6243551622699</v>
      </c>
      <c r="H1748" s="10">
        <v>6</v>
      </c>
      <c r="I1748" s="2">
        <v>393.36335979792602</v>
      </c>
      <c r="J1748" t="s">
        <v>8</v>
      </c>
    </row>
    <row r="1749" spans="1:10" x14ac:dyDescent="0.25">
      <c r="A1749" t="s">
        <v>364</v>
      </c>
      <c r="B1749" s="1">
        <f t="shared" si="108"/>
        <v>45276</v>
      </c>
      <c r="C1749" s="1" t="str">
        <f t="shared" si="109"/>
        <v>Saturday</v>
      </c>
      <c r="D1749" s="1" t="str">
        <f t="shared" si="110"/>
        <v>December</v>
      </c>
      <c r="E1749" s="1" t="str">
        <f t="shared" si="111"/>
        <v>2023</v>
      </c>
      <c r="F1749" t="s">
        <v>11</v>
      </c>
      <c r="G1749" s="5">
        <v>975.68621583475999</v>
      </c>
      <c r="H1749" s="10">
        <v>8</v>
      </c>
      <c r="I1749" s="2">
        <v>203.78157323861601</v>
      </c>
      <c r="J1749" t="s">
        <v>10</v>
      </c>
    </row>
    <row r="1750" spans="1:10" x14ac:dyDescent="0.25">
      <c r="A1750" t="s">
        <v>364</v>
      </c>
      <c r="B1750" s="1">
        <f t="shared" si="108"/>
        <v>45276</v>
      </c>
      <c r="C1750" s="1" t="str">
        <f t="shared" si="109"/>
        <v>Saturday</v>
      </c>
      <c r="D1750" s="1" t="str">
        <f t="shared" si="110"/>
        <v>December</v>
      </c>
      <c r="E1750" s="1" t="str">
        <f t="shared" si="111"/>
        <v>2023</v>
      </c>
      <c r="F1750" t="s">
        <v>13</v>
      </c>
      <c r="G1750" s="5">
        <v>846.79415947699999</v>
      </c>
      <c r="H1750" s="10">
        <v>15</v>
      </c>
      <c r="I1750" s="2">
        <v>207.59489680882999</v>
      </c>
      <c r="J1750" t="s">
        <v>12</v>
      </c>
    </row>
    <row r="1751" spans="1:10" x14ac:dyDescent="0.25">
      <c r="A1751" t="s">
        <v>364</v>
      </c>
      <c r="B1751" s="1">
        <f t="shared" si="108"/>
        <v>45276</v>
      </c>
      <c r="C1751" s="1" t="str">
        <f t="shared" si="109"/>
        <v>Saturday</v>
      </c>
      <c r="D1751" s="1" t="str">
        <f t="shared" si="110"/>
        <v>December</v>
      </c>
      <c r="E1751" s="1" t="str">
        <f t="shared" si="111"/>
        <v>2023</v>
      </c>
      <c r="F1751" t="s">
        <v>16</v>
      </c>
      <c r="G1751" s="5">
        <v>1342.25896468322</v>
      </c>
      <c r="H1751" s="10">
        <v>16</v>
      </c>
      <c r="I1751" s="2">
        <v>261.655094148442</v>
      </c>
      <c r="J1751" t="s">
        <v>8</v>
      </c>
    </row>
    <row r="1752" spans="1:10" x14ac:dyDescent="0.25">
      <c r="A1752" t="s">
        <v>365</v>
      </c>
      <c r="B1752" s="1">
        <f t="shared" si="108"/>
        <v>45277</v>
      </c>
      <c r="C1752" s="1" t="str">
        <f t="shared" si="109"/>
        <v>Sunday</v>
      </c>
      <c r="D1752" s="1" t="str">
        <f t="shared" si="110"/>
        <v>December</v>
      </c>
      <c r="E1752" s="1" t="str">
        <f t="shared" si="111"/>
        <v>2023</v>
      </c>
      <c r="F1752" t="s">
        <v>7</v>
      </c>
      <c r="G1752" s="5">
        <v>143.4723979927</v>
      </c>
      <c r="H1752" s="10">
        <v>5</v>
      </c>
      <c r="I1752" s="2">
        <v>113.51918706319</v>
      </c>
      <c r="J1752" t="s">
        <v>14</v>
      </c>
    </row>
    <row r="1753" spans="1:10" x14ac:dyDescent="0.25">
      <c r="A1753" t="s">
        <v>365</v>
      </c>
      <c r="B1753" s="1">
        <f t="shared" si="108"/>
        <v>45277</v>
      </c>
      <c r="C1753" s="1" t="str">
        <f t="shared" si="109"/>
        <v>Sunday</v>
      </c>
      <c r="D1753" s="1" t="str">
        <f t="shared" si="110"/>
        <v>December</v>
      </c>
      <c r="E1753" s="1" t="str">
        <f t="shared" si="111"/>
        <v>2023</v>
      </c>
      <c r="F1753" t="s">
        <v>9</v>
      </c>
      <c r="G1753" s="5">
        <v>184.28899634952</v>
      </c>
      <c r="H1753" s="10">
        <v>19</v>
      </c>
      <c r="I1753" s="2">
        <v>274.16535906878698</v>
      </c>
      <c r="J1753" t="s">
        <v>8</v>
      </c>
    </row>
    <row r="1754" spans="1:10" x14ac:dyDescent="0.25">
      <c r="A1754" t="s">
        <v>365</v>
      </c>
      <c r="B1754" s="1">
        <f t="shared" si="108"/>
        <v>45277</v>
      </c>
      <c r="C1754" s="1" t="str">
        <f t="shared" si="109"/>
        <v>Sunday</v>
      </c>
      <c r="D1754" s="1" t="str">
        <f t="shared" si="110"/>
        <v>December</v>
      </c>
      <c r="E1754" s="1" t="str">
        <f t="shared" si="111"/>
        <v>2023</v>
      </c>
      <c r="F1754" t="s">
        <v>11</v>
      </c>
      <c r="G1754" s="5">
        <v>959.91881871947999</v>
      </c>
      <c r="H1754" s="10">
        <v>8</v>
      </c>
      <c r="I1754" s="2">
        <v>151.66887249418301</v>
      </c>
      <c r="J1754" t="s">
        <v>8</v>
      </c>
    </row>
    <row r="1755" spans="1:10" x14ac:dyDescent="0.25">
      <c r="A1755" t="s">
        <v>365</v>
      </c>
      <c r="B1755" s="1">
        <f t="shared" si="108"/>
        <v>45277</v>
      </c>
      <c r="C1755" s="1" t="str">
        <f t="shared" si="109"/>
        <v>Sunday</v>
      </c>
      <c r="D1755" s="1" t="str">
        <f t="shared" si="110"/>
        <v>December</v>
      </c>
      <c r="E1755" s="1" t="str">
        <f t="shared" si="111"/>
        <v>2023</v>
      </c>
      <c r="F1755" t="s">
        <v>13</v>
      </c>
      <c r="G1755" s="5">
        <v>769.81138764382695</v>
      </c>
      <c r="H1755" s="10">
        <v>9</v>
      </c>
      <c r="I1755" s="2">
        <v>171.36761191274601</v>
      </c>
      <c r="J1755" t="s">
        <v>14</v>
      </c>
    </row>
    <row r="1756" spans="1:10" x14ac:dyDescent="0.25">
      <c r="A1756" t="s">
        <v>365</v>
      </c>
      <c r="B1756" s="1">
        <f t="shared" si="108"/>
        <v>45277</v>
      </c>
      <c r="C1756" s="1" t="str">
        <f t="shared" si="109"/>
        <v>Sunday</v>
      </c>
      <c r="D1756" s="1" t="str">
        <f t="shared" si="110"/>
        <v>December</v>
      </c>
      <c r="E1756" s="1" t="str">
        <f t="shared" si="111"/>
        <v>2023</v>
      </c>
      <c r="F1756" t="s">
        <v>16</v>
      </c>
      <c r="G1756" s="5">
        <v>893.51613937980005</v>
      </c>
      <c r="H1756" s="10">
        <v>11</v>
      </c>
      <c r="I1756" s="2">
        <v>192.91946199744001</v>
      </c>
      <c r="J1756" t="s">
        <v>14</v>
      </c>
    </row>
    <row r="1757" spans="1:10" x14ac:dyDescent="0.25">
      <c r="A1757" t="s">
        <v>366</v>
      </c>
      <c r="B1757" s="1">
        <f t="shared" si="108"/>
        <v>45278</v>
      </c>
      <c r="C1757" s="1" t="str">
        <f t="shared" si="109"/>
        <v>Monday</v>
      </c>
      <c r="D1757" s="1" t="str">
        <f t="shared" si="110"/>
        <v>December</v>
      </c>
      <c r="E1757" s="1" t="str">
        <f t="shared" si="111"/>
        <v>2023</v>
      </c>
      <c r="F1757" t="s">
        <v>7</v>
      </c>
      <c r="G1757" s="5">
        <v>115.68736761471</v>
      </c>
      <c r="H1757" s="10">
        <v>7</v>
      </c>
      <c r="I1757" s="2">
        <v>260.57701466835101</v>
      </c>
      <c r="J1757" t="s">
        <v>12</v>
      </c>
    </row>
    <row r="1758" spans="1:10" x14ac:dyDescent="0.25">
      <c r="A1758" t="s">
        <v>366</v>
      </c>
      <c r="B1758" s="1">
        <f t="shared" si="108"/>
        <v>45278</v>
      </c>
      <c r="C1758" s="1" t="str">
        <f t="shared" si="109"/>
        <v>Monday</v>
      </c>
      <c r="D1758" s="1" t="str">
        <f t="shared" si="110"/>
        <v>December</v>
      </c>
      <c r="E1758" s="1" t="str">
        <f t="shared" si="111"/>
        <v>2023</v>
      </c>
      <c r="F1758" t="s">
        <v>9</v>
      </c>
      <c r="G1758" s="5">
        <v>787.92856625872002</v>
      </c>
      <c r="H1758" s="10">
        <v>4</v>
      </c>
      <c r="I1758" s="2">
        <v>291.60737625980403</v>
      </c>
      <c r="J1758" t="s">
        <v>14</v>
      </c>
    </row>
    <row r="1759" spans="1:10" x14ac:dyDescent="0.25">
      <c r="A1759" t="s">
        <v>366</v>
      </c>
      <c r="B1759" s="1">
        <f t="shared" si="108"/>
        <v>45278</v>
      </c>
      <c r="C1759" s="1" t="str">
        <f t="shared" si="109"/>
        <v>Monday</v>
      </c>
      <c r="D1759" s="1" t="str">
        <f t="shared" si="110"/>
        <v>December</v>
      </c>
      <c r="E1759" s="1" t="str">
        <f t="shared" si="111"/>
        <v>2023</v>
      </c>
      <c r="F1759" t="s">
        <v>11</v>
      </c>
      <c r="G1759" s="5">
        <v>1156.457576795</v>
      </c>
      <c r="H1759" s="10">
        <v>3</v>
      </c>
      <c r="I1759" s="2">
        <v>339.50074464355203</v>
      </c>
      <c r="J1759" t="s">
        <v>10</v>
      </c>
    </row>
    <row r="1760" spans="1:10" x14ac:dyDescent="0.25">
      <c r="A1760" t="s">
        <v>366</v>
      </c>
      <c r="B1760" s="1">
        <f t="shared" si="108"/>
        <v>45278</v>
      </c>
      <c r="C1760" s="1" t="str">
        <f t="shared" si="109"/>
        <v>Monday</v>
      </c>
      <c r="D1760" s="1" t="str">
        <f t="shared" si="110"/>
        <v>December</v>
      </c>
      <c r="E1760" s="1" t="str">
        <f t="shared" si="111"/>
        <v>2023</v>
      </c>
      <c r="F1760" t="s">
        <v>13</v>
      </c>
      <c r="G1760" s="5">
        <v>1347.92948858553</v>
      </c>
      <c r="H1760" s="10">
        <v>16</v>
      </c>
      <c r="I1760" s="2">
        <v>485.87590723549602</v>
      </c>
      <c r="J1760" t="s">
        <v>8</v>
      </c>
    </row>
    <row r="1761" spans="1:10" x14ac:dyDescent="0.25">
      <c r="A1761" t="s">
        <v>366</v>
      </c>
      <c r="B1761" s="1">
        <f t="shared" si="108"/>
        <v>45278</v>
      </c>
      <c r="C1761" s="1" t="str">
        <f t="shared" si="109"/>
        <v>Monday</v>
      </c>
      <c r="D1761" s="1" t="str">
        <f t="shared" si="110"/>
        <v>December</v>
      </c>
      <c r="E1761" s="1" t="str">
        <f t="shared" si="111"/>
        <v>2023</v>
      </c>
      <c r="F1761" t="s">
        <v>16</v>
      </c>
      <c r="G1761" s="5">
        <v>1154.1375257459999</v>
      </c>
      <c r="H1761" s="10">
        <v>11</v>
      </c>
      <c r="I1761" s="2">
        <v>357.03275047592399</v>
      </c>
      <c r="J1761" t="s">
        <v>12</v>
      </c>
    </row>
    <row r="1762" spans="1:10" x14ac:dyDescent="0.25">
      <c r="A1762" t="s">
        <v>367</v>
      </c>
      <c r="B1762" s="1">
        <f t="shared" si="108"/>
        <v>45279</v>
      </c>
      <c r="C1762" s="1" t="str">
        <f t="shared" si="109"/>
        <v>Tuesday</v>
      </c>
      <c r="D1762" s="1" t="str">
        <f t="shared" si="110"/>
        <v>December</v>
      </c>
      <c r="E1762" s="1" t="str">
        <f t="shared" si="111"/>
        <v>2023</v>
      </c>
      <c r="F1762" t="s">
        <v>7</v>
      </c>
      <c r="G1762" s="5">
        <v>833.36656214498998</v>
      </c>
      <c r="H1762" s="10">
        <v>7</v>
      </c>
      <c r="I1762" s="2">
        <v>313.53854745817</v>
      </c>
      <c r="J1762" t="s">
        <v>14</v>
      </c>
    </row>
    <row r="1763" spans="1:10" x14ac:dyDescent="0.25">
      <c r="A1763" t="s">
        <v>367</v>
      </c>
      <c r="B1763" s="1">
        <f t="shared" si="108"/>
        <v>45279</v>
      </c>
      <c r="C1763" s="1" t="str">
        <f t="shared" si="109"/>
        <v>Tuesday</v>
      </c>
      <c r="D1763" s="1" t="str">
        <f t="shared" si="110"/>
        <v>December</v>
      </c>
      <c r="E1763" s="1" t="str">
        <f t="shared" si="111"/>
        <v>2023</v>
      </c>
      <c r="F1763" t="s">
        <v>9</v>
      </c>
      <c r="G1763" s="5">
        <v>16.55972265466</v>
      </c>
      <c r="H1763" s="10">
        <v>8</v>
      </c>
      <c r="I1763" s="2">
        <v>389.04225379341801</v>
      </c>
      <c r="J1763" t="s">
        <v>12</v>
      </c>
    </row>
    <row r="1764" spans="1:10" x14ac:dyDescent="0.25">
      <c r="A1764" t="s">
        <v>367</v>
      </c>
      <c r="B1764" s="1">
        <f t="shared" si="108"/>
        <v>45279</v>
      </c>
      <c r="C1764" s="1" t="str">
        <f t="shared" si="109"/>
        <v>Tuesday</v>
      </c>
      <c r="D1764" s="1" t="str">
        <f t="shared" si="110"/>
        <v>December</v>
      </c>
      <c r="E1764" s="1" t="str">
        <f t="shared" si="111"/>
        <v>2023</v>
      </c>
      <c r="F1764" t="s">
        <v>11</v>
      </c>
      <c r="G1764" s="5">
        <v>146.59749975982001</v>
      </c>
      <c r="H1764" s="10">
        <v>4</v>
      </c>
      <c r="I1764" s="2">
        <v>371.06555782818299</v>
      </c>
      <c r="J1764" t="s">
        <v>14</v>
      </c>
    </row>
    <row r="1765" spans="1:10" x14ac:dyDescent="0.25">
      <c r="A1765" t="s">
        <v>367</v>
      </c>
      <c r="B1765" s="1">
        <f t="shared" si="108"/>
        <v>45279</v>
      </c>
      <c r="C1765" s="1" t="str">
        <f t="shared" si="109"/>
        <v>Tuesday</v>
      </c>
      <c r="D1765" s="1" t="str">
        <f t="shared" si="110"/>
        <v>December</v>
      </c>
      <c r="E1765" s="1" t="str">
        <f t="shared" si="111"/>
        <v>2023</v>
      </c>
      <c r="F1765" t="s">
        <v>13</v>
      </c>
      <c r="G1765" s="5">
        <v>1119.44417953676</v>
      </c>
      <c r="H1765" s="10">
        <v>17</v>
      </c>
      <c r="I1765" s="2">
        <v>293.830674818212</v>
      </c>
      <c r="J1765" t="s">
        <v>10</v>
      </c>
    </row>
    <row r="1766" spans="1:10" x14ac:dyDescent="0.25">
      <c r="A1766" t="s">
        <v>367</v>
      </c>
      <c r="B1766" s="1">
        <f t="shared" si="108"/>
        <v>45279</v>
      </c>
      <c r="C1766" s="1" t="str">
        <f t="shared" si="109"/>
        <v>Tuesday</v>
      </c>
      <c r="D1766" s="1" t="str">
        <f t="shared" si="110"/>
        <v>December</v>
      </c>
      <c r="E1766" s="1" t="str">
        <f t="shared" si="111"/>
        <v>2023</v>
      </c>
      <c r="F1766" t="s">
        <v>16</v>
      </c>
      <c r="G1766" s="5">
        <v>1683.1259494159899</v>
      </c>
      <c r="H1766" s="10">
        <v>15</v>
      </c>
      <c r="I1766" s="2">
        <v>251.25895180204901</v>
      </c>
      <c r="J1766" t="s">
        <v>10</v>
      </c>
    </row>
    <row r="1767" spans="1:10" x14ac:dyDescent="0.25">
      <c r="A1767" t="s">
        <v>368</v>
      </c>
      <c r="B1767" s="1">
        <f t="shared" si="108"/>
        <v>45280</v>
      </c>
      <c r="C1767" s="1" t="str">
        <f t="shared" si="109"/>
        <v>Wednesday</v>
      </c>
      <c r="D1767" s="1" t="str">
        <f t="shared" si="110"/>
        <v>December</v>
      </c>
      <c r="E1767" s="1" t="str">
        <f t="shared" si="111"/>
        <v>2023</v>
      </c>
      <c r="F1767" t="s">
        <v>7</v>
      </c>
      <c r="G1767" s="5">
        <v>629.64644732809995</v>
      </c>
      <c r="H1767" s="10">
        <v>1</v>
      </c>
      <c r="I1767" s="2">
        <v>219.78491738458101</v>
      </c>
      <c r="J1767" t="s">
        <v>14</v>
      </c>
    </row>
    <row r="1768" spans="1:10" x14ac:dyDescent="0.25">
      <c r="A1768" t="s">
        <v>368</v>
      </c>
      <c r="B1768" s="1">
        <f t="shared" si="108"/>
        <v>45280</v>
      </c>
      <c r="C1768" s="1" t="str">
        <f t="shared" si="109"/>
        <v>Wednesday</v>
      </c>
      <c r="D1768" s="1" t="str">
        <f t="shared" si="110"/>
        <v>December</v>
      </c>
      <c r="E1768" s="1" t="str">
        <f t="shared" si="111"/>
        <v>2023</v>
      </c>
      <c r="F1768" t="s">
        <v>9</v>
      </c>
      <c r="G1768" s="5">
        <v>635.67469786672996</v>
      </c>
      <c r="H1768" s="10">
        <v>16</v>
      </c>
      <c r="I1768" s="2">
        <v>192.761363693356</v>
      </c>
      <c r="J1768" t="s">
        <v>8</v>
      </c>
    </row>
    <row r="1769" spans="1:10" x14ac:dyDescent="0.25">
      <c r="A1769" t="s">
        <v>368</v>
      </c>
      <c r="B1769" s="1">
        <f t="shared" si="108"/>
        <v>45280</v>
      </c>
      <c r="C1769" s="1" t="str">
        <f t="shared" si="109"/>
        <v>Wednesday</v>
      </c>
      <c r="D1769" s="1" t="str">
        <f t="shared" si="110"/>
        <v>December</v>
      </c>
      <c r="E1769" s="1" t="str">
        <f t="shared" si="111"/>
        <v>2023</v>
      </c>
      <c r="F1769" t="s">
        <v>11</v>
      </c>
      <c r="G1769" s="5">
        <v>1136.8716392118999</v>
      </c>
      <c r="H1769" s="10">
        <v>13</v>
      </c>
      <c r="I1769" s="2">
        <v>358.60401390594501</v>
      </c>
      <c r="J1769" t="s">
        <v>8</v>
      </c>
    </row>
    <row r="1770" spans="1:10" x14ac:dyDescent="0.25">
      <c r="A1770" t="s">
        <v>368</v>
      </c>
      <c r="B1770" s="1">
        <f t="shared" si="108"/>
        <v>45280</v>
      </c>
      <c r="C1770" s="1" t="str">
        <f t="shared" si="109"/>
        <v>Wednesday</v>
      </c>
      <c r="D1770" s="1" t="str">
        <f t="shared" si="110"/>
        <v>December</v>
      </c>
      <c r="E1770" s="1" t="str">
        <f t="shared" si="111"/>
        <v>2023</v>
      </c>
      <c r="F1770" t="s">
        <v>13</v>
      </c>
      <c r="G1770" s="5">
        <v>169.74598599999999</v>
      </c>
      <c r="H1770" s="10">
        <v>11</v>
      </c>
      <c r="I1770" s="2">
        <v>115.9094544</v>
      </c>
      <c r="J1770" t="s">
        <v>10</v>
      </c>
    </row>
    <row r="1771" spans="1:10" x14ac:dyDescent="0.25">
      <c r="A1771" t="s">
        <v>368</v>
      </c>
      <c r="B1771" s="1">
        <f t="shared" si="108"/>
        <v>45280</v>
      </c>
      <c r="C1771" s="1" t="str">
        <f t="shared" si="109"/>
        <v>Wednesday</v>
      </c>
      <c r="D1771" s="1" t="str">
        <f t="shared" si="110"/>
        <v>December</v>
      </c>
      <c r="E1771" s="1" t="str">
        <f t="shared" si="111"/>
        <v>2023</v>
      </c>
      <c r="F1771" t="s">
        <v>16</v>
      </c>
      <c r="G1771" s="5">
        <v>127.44895994281001</v>
      </c>
      <c r="H1771" s="10">
        <v>15</v>
      </c>
      <c r="I1771" s="2">
        <v>302.22002098832399</v>
      </c>
      <c r="J1771" t="s">
        <v>12</v>
      </c>
    </row>
    <row r="1772" spans="1:10" x14ac:dyDescent="0.25">
      <c r="A1772" t="s">
        <v>369</v>
      </c>
      <c r="B1772" s="1">
        <f t="shared" si="108"/>
        <v>45281</v>
      </c>
      <c r="C1772" s="1" t="str">
        <f t="shared" si="109"/>
        <v>Thursday</v>
      </c>
      <c r="D1772" s="1" t="str">
        <f t="shared" si="110"/>
        <v>December</v>
      </c>
      <c r="E1772" s="1" t="str">
        <f t="shared" si="111"/>
        <v>2023</v>
      </c>
      <c r="F1772" t="s">
        <v>7</v>
      </c>
      <c r="G1772" s="5">
        <v>176.65532699241001</v>
      </c>
      <c r="H1772" s="10">
        <v>7</v>
      </c>
      <c r="I1772" s="2">
        <v>198.02929963599601</v>
      </c>
      <c r="J1772" t="s">
        <v>12</v>
      </c>
    </row>
    <row r="1773" spans="1:10" x14ac:dyDescent="0.25">
      <c r="A1773" t="s">
        <v>369</v>
      </c>
      <c r="B1773" s="1">
        <f t="shared" si="108"/>
        <v>45281</v>
      </c>
      <c r="C1773" s="1" t="str">
        <f t="shared" si="109"/>
        <v>Thursday</v>
      </c>
      <c r="D1773" s="1" t="str">
        <f t="shared" si="110"/>
        <v>December</v>
      </c>
      <c r="E1773" s="1" t="str">
        <f t="shared" si="111"/>
        <v>2023</v>
      </c>
      <c r="F1773" t="s">
        <v>9</v>
      </c>
      <c r="G1773" s="5">
        <v>11.3225951485</v>
      </c>
      <c r="H1773" s="10">
        <v>8</v>
      </c>
      <c r="I1773" s="2">
        <v>224.391492985664</v>
      </c>
      <c r="J1773" t="s">
        <v>10</v>
      </c>
    </row>
    <row r="1774" spans="1:10" x14ac:dyDescent="0.25">
      <c r="A1774" t="s">
        <v>369</v>
      </c>
      <c r="B1774" s="1">
        <f t="shared" si="108"/>
        <v>45281</v>
      </c>
      <c r="C1774" s="1" t="str">
        <f t="shared" si="109"/>
        <v>Thursday</v>
      </c>
      <c r="D1774" s="1" t="str">
        <f t="shared" si="110"/>
        <v>December</v>
      </c>
      <c r="E1774" s="1" t="str">
        <f t="shared" si="111"/>
        <v>2023</v>
      </c>
      <c r="F1774" t="s">
        <v>11</v>
      </c>
      <c r="G1774" s="5">
        <v>71.479877926</v>
      </c>
      <c r="H1774" s="10">
        <v>12</v>
      </c>
      <c r="I1774" s="2">
        <v>130.277010597003</v>
      </c>
      <c r="J1774" t="s">
        <v>12</v>
      </c>
    </row>
    <row r="1775" spans="1:10" x14ac:dyDescent="0.25">
      <c r="A1775" t="s">
        <v>369</v>
      </c>
      <c r="B1775" s="1">
        <f t="shared" si="108"/>
        <v>45281</v>
      </c>
      <c r="C1775" s="1" t="str">
        <f t="shared" si="109"/>
        <v>Thursday</v>
      </c>
      <c r="D1775" s="1" t="str">
        <f t="shared" si="110"/>
        <v>December</v>
      </c>
      <c r="E1775" s="1" t="str">
        <f t="shared" si="111"/>
        <v>2023</v>
      </c>
      <c r="F1775" t="s">
        <v>13</v>
      </c>
      <c r="G1775" s="5">
        <v>117.7234892294</v>
      </c>
      <c r="H1775" s="10">
        <v>16</v>
      </c>
      <c r="I1775" s="2">
        <v>258.203393969057</v>
      </c>
      <c r="J1775" t="s">
        <v>14</v>
      </c>
    </row>
    <row r="1776" spans="1:10" x14ac:dyDescent="0.25">
      <c r="A1776" t="s">
        <v>369</v>
      </c>
      <c r="B1776" s="1">
        <f t="shared" si="108"/>
        <v>45281</v>
      </c>
      <c r="C1776" s="1" t="str">
        <f t="shared" si="109"/>
        <v>Thursday</v>
      </c>
      <c r="D1776" s="1" t="str">
        <f t="shared" si="110"/>
        <v>December</v>
      </c>
      <c r="E1776" s="1" t="str">
        <f t="shared" si="111"/>
        <v>2023</v>
      </c>
      <c r="F1776" t="s">
        <v>16</v>
      </c>
      <c r="G1776" s="5">
        <v>1128.7534359624899</v>
      </c>
      <c r="H1776" s="10">
        <v>18</v>
      </c>
      <c r="I1776" s="2">
        <v>408.61815237612097</v>
      </c>
      <c r="J1776" t="s">
        <v>8</v>
      </c>
    </row>
    <row r="1777" spans="1:10" x14ac:dyDescent="0.25">
      <c r="A1777" t="s">
        <v>370</v>
      </c>
      <c r="B1777" s="1">
        <f t="shared" si="108"/>
        <v>45282</v>
      </c>
      <c r="C1777" s="1" t="str">
        <f t="shared" si="109"/>
        <v>Friday</v>
      </c>
      <c r="D1777" s="1" t="str">
        <f t="shared" si="110"/>
        <v>December</v>
      </c>
      <c r="E1777" s="1" t="str">
        <f t="shared" si="111"/>
        <v>2023</v>
      </c>
      <c r="F1777" t="s">
        <v>7</v>
      </c>
      <c r="G1777" s="5">
        <v>1249.4912676854699</v>
      </c>
      <c r="H1777" s="10">
        <v>16</v>
      </c>
      <c r="I1777" s="2">
        <v>458.03823918189198</v>
      </c>
      <c r="J1777" t="s">
        <v>14</v>
      </c>
    </row>
    <row r="1778" spans="1:10" x14ac:dyDescent="0.25">
      <c r="A1778" t="s">
        <v>370</v>
      </c>
      <c r="B1778" s="1">
        <f t="shared" si="108"/>
        <v>45282</v>
      </c>
      <c r="C1778" s="1" t="str">
        <f t="shared" si="109"/>
        <v>Friday</v>
      </c>
      <c r="D1778" s="1" t="str">
        <f t="shared" si="110"/>
        <v>December</v>
      </c>
      <c r="E1778" s="1" t="str">
        <f t="shared" si="111"/>
        <v>2023</v>
      </c>
      <c r="F1778" t="s">
        <v>9</v>
      </c>
      <c r="G1778" s="5">
        <v>98.81545219585</v>
      </c>
      <c r="H1778" s="10">
        <v>9</v>
      </c>
      <c r="I1778" s="2">
        <v>318.207624901374</v>
      </c>
      <c r="J1778" t="s">
        <v>10</v>
      </c>
    </row>
    <row r="1779" spans="1:10" x14ac:dyDescent="0.25">
      <c r="A1779" t="s">
        <v>370</v>
      </c>
      <c r="B1779" s="1">
        <f t="shared" si="108"/>
        <v>45282</v>
      </c>
      <c r="C1779" s="1" t="str">
        <f t="shared" si="109"/>
        <v>Friday</v>
      </c>
      <c r="D1779" s="1" t="str">
        <f t="shared" si="110"/>
        <v>December</v>
      </c>
      <c r="E1779" s="1" t="str">
        <f t="shared" si="111"/>
        <v>2023</v>
      </c>
      <c r="F1779" t="s">
        <v>11</v>
      </c>
      <c r="G1779" s="5">
        <v>894.53788616325005</v>
      </c>
      <c r="H1779" s="10">
        <v>12</v>
      </c>
      <c r="I1779" s="2">
        <v>144.448717825263</v>
      </c>
      <c r="J1779" t="s">
        <v>10</v>
      </c>
    </row>
    <row r="1780" spans="1:10" x14ac:dyDescent="0.25">
      <c r="A1780" t="s">
        <v>370</v>
      </c>
      <c r="B1780" s="1">
        <f t="shared" si="108"/>
        <v>45282</v>
      </c>
      <c r="C1780" s="1" t="str">
        <f t="shared" si="109"/>
        <v>Friday</v>
      </c>
      <c r="D1780" s="1" t="str">
        <f t="shared" si="110"/>
        <v>December</v>
      </c>
      <c r="E1780" s="1" t="str">
        <f t="shared" si="111"/>
        <v>2023</v>
      </c>
      <c r="F1780" t="s">
        <v>13</v>
      </c>
      <c r="G1780" s="5">
        <v>618.88615863747805</v>
      </c>
      <c r="H1780" s="10">
        <v>10</v>
      </c>
      <c r="I1780" s="2">
        <v>226.37409614171301</v>
      </c>
      <c r="J1780" t="s">
        <v>14</v>
      </c>
    </row>
    <row r="1781" spans="1:10" x14ac:dyDescent="0.25">
      <c r="A1781" t="s">
        <v>370</v>
      </c>
      <c r="B1781" s="1">
        <f t="shared" si="108"/>
        <v>45282</v>
      </c>
      <c r="C1781" s="1" t="str">
        <f t="shared" si="109"/>
        <v>Friday</v>
      </c>
      <c r="D1781" s="1" t="str">
        <f t="shared" si="110"/>
        <v>December</v>
      </c>
      <c r="E1781" s="1" t="str">
        <f t="shared" si="111"/>
        <v>2023</v>
      </c>
      <c r="F1781" t="s">
        <v>16</v>
      </c>
      <c r="G1781" s="5">
        <v>868.31988296799</v>
      </c>
      <c r="H1781" s="10">
        <v>7</v>
      </c>
      <c r="I1781" s="2">
        <v>285.31279415367601</v>
      </c>
      <c r="J1781" t="s">
        <v>14</v>
      </c>
    </row>
    <row r="1782" spans="1:10" x14ac:dyDescent="0.25">
      <c r="A1782" t="s">
        <v>371</v>
      </c>
      <c r="B1782" s="1">
        <f t="shared" si="108"/>
        <v>45283</v>
      </c>
      <c r="C1782" s="1" t="str">
        <f t="shared" si="109"/>
        <v>Saturday</v>
      </c>
      <c r="D1782" s="1" t="str">
        <f t="shared" si="110"/>
        <v>December</v>
      </c>
      <c r="E1782" s="1" t="str">
        <f t="shared" si="111"/>
        <v>2023</v>
      </c>
      <c r="F1782" t="s">
        <v>7</v>
      </c>
      <c r="G1782" s="5">
        <v>1165.8273234954099</v>
      </c>
      <c r="H1782" s="10">
        <v>3</v>
      </c>
      <c r="I1782" s="2">
        <v>234.219043853324</v>
      </c>
      <c r="J1782" t="s">
        <v>14</v>
      </c>
    </row>
    <row r="1783" spans="1:10" x14ac:dyDescent="0.25">
      <c r="A1783" t="s">
        <v>371</v>
      </c>
      <c r="B1783" s="1">
        <f t="shared" si="108"/>
        <v>45283</v>
      </c>
      <c r="C1783" s="1" t="str">
        <f t="shared" si="109"/>
        <v>Saturday</v>
      </c>
      <c r="D1783" s="1" t="str">
        <f t="shared" si="110"/>
        <v>December</v>
      </c>
      <c r="E1783" s="1" t="str">
        <f t="shared" si="111"/>
        <v>2023</v>
      </c>
      <c r="F1783" t="s">
        <v>9</v>
      </c>
      <c r="G1783" s="5">
        <v>91.394998000000001</v>
      </c>
      <c r="H1783" s="10">
        <v>5</v>
      </c>
      <c r="I1783" s="2">
        <v>346.345784990808</v>
      </c>
      <c r="J1783" t="s">
        <v>14</v>
      </c>
    </row>
    <row r="1784" spans="1:10" x14ac:dyDescent="0.25">
      <c r="A1784" t="s">
        <v>371</v>
      </c>
      <c r="B1784" s="1">
        <f t="shared" si="108"/>
        <v>45283</v>
      </c>
      <c r="C1784" s="1" t="str">
        <f t="shared" si="109"/>
        <v>Saturday</v>
      </c>
      <c r="D1784" s="1" t="str">
        <f t="shared" si="110"/>
        <v>December</v>
      </c>
      <c r="E1784" s="1" t="str">
        <f t="shared" si="111"/>
        <v>2023</v>
      </c>
      <c r="F1784" t="s">
        <v>11</v>
      </c>
      <c r="G1784" s="5">
        <v>988.74975310000002</v>
      </c>
      <c r="H1784" s="10">
        <v>11</v>
      </c>
      <c r="I1784" s="2">
        <v>173.667157530498</v>
      </c>
      <c r="J1784" t="s">
        <v>8</v>
      </c>
    </row>
    <row r="1785" spans="1:10" x14ac:dyDescent="0.25">
      <c r="A1785" t="s">
        <v>371</v>
      </c>
      <c r="B1785" s="1">
        <f t="shared" si="108"/>
        <v>45283</v>
      </c>
      <c r="C1785" s="1" t="str">
        <f t="shared" si="109"/>
        <v>Saturday</v>
      </c>
      <c r="D1785" s="1" t="str">
        <f t="shared" si="110"/>
        <v>December</v>
      </c>
      <c r="E1785" s="1" t="str">
        <f t="shared" si="111"/>
        <v>2023</v>
      </c>
      <c r="F1785" t="s">
        <v>13</v>
      </c>
      <c r="G1785" s="5">
        <v>145.4173214786</v>
      </c>
      <c r="H1785" s="10">
        <v>12</v>
      </c>
      <c r="I1785" s="2">
        <v>177.908125238482</v>
      </c>
      <c r="J1785" t="s">
        <v>12</v>
      </c>
    </row>
    <row r="1786" spans="1:10" x14ac:dyDescent="0.25">
      <c r="A1786" t="s">
        <v>371</v>
      </c>
      <c r="B1786" s="1">
        <f t="shared" si="108"/>
        <v>45283</v>
      </c>
      <c r="C1786" s="1" t="str">
        <f t="shared" si="109"/>
        <v>Saturday</v>
      </c>
      <c r="D1786" s="1" t="str">
        <f t="shared" si="110"/>
        <v>December</v>
      </c>
      <c r="E1786" s="1" t="str">
        <f t="shared" si="111"/>
        <v>2023</v>
      </c>
      <c r="F1786" t="s">
        <v>16</v>
      </c>
      <c r="G1786" s="5">
        <v>1522.7128254176</v>
      </c>
      <c r="H1786" s="10">
        <v>9</v>
      </c>
      <c r="I1786" s="2">
        <v>588.26482507880496</v>
      </c>
      <c r="J1786" t="s">
        <v>8</v>
      </c>
    </row>
    <row r="1787" spans="1:10" x14ac:dyDescent="0.25">
      <c r="A1787" t="s">
        <v>372</v>
      </c>
      <c r="B1787" s="1">
        <f t="shared" si="108"/>
        <v>45284</v>
      </c>
      <c r="C1787" s="1" t="str">
        <f t="shared" si="109"/>
        <v>Sunday</v>
      </c>
      <c r="D1787" s="1" t="str">
        <f t="shared" si="110"/>
        <v>December</v>
      </c>
      <c r="E1787" s="1" t="str">
        <f t="shared" si="111"/>
        <v>2023</v>
      </c>
      <c r="F1787" t="s">
        <v>7</v>
      </c>
      <c r="G1787" s="5">
        <v>1616.3465329856999</v>
      </c>
      <c r="H1787" s="10">
        <v>16</v>
      </c>
      <c r="I1787" s="2">
        <v>504.91800643596599</v>
      </c>
      <c r="J1787" t="s">
        <v>12</v>
      </c>
    </row>
    <row r="1788" spans="1:10" x14ac:dyDescent="0.25">
      <c r="A1788" t="s">
        <v>372</v>
      </c>
      <c r="B1788" s="1">
        <f t="shared" si="108"/>
        <v>45284</v>
      </c>
      <c r="C1788" s="1" t="str">
        <f t="shared" si="109"/>
        <v>Sunday</v>
      </c>
      <c r="D1788" s="1" t="str">
        <f t="shared" si="110"/>
        <v>December</v>
      </c>
      <c r="E1788" s="1" t="str">
        <f t="shared" si="111"/>
        <v>2023</v>
      </c>
      <c r="F1788" t="s">
        <v>9</v>
      </c>
      <c r="G1788" s="5">
        <v>125.9295672626</v>
      </c>
      <c r="H1788" s="10">
        <v>18</v>
      </c>
      <c r="I1788" s="2">
        <v>410.20785185085703</v>
      </c>
      <c r="J1788" t="s">
        <v>12</v>
      </c>
    </row>
    <row r="1789" spans="1:10" x14ac:dyDescent="0.25">
      <c r="A1789" t="s">
        <v>372</v>
      </c>
      <c r="B1789" s="1">
        <f t="shared" si="108"/>
        <v>45284</v>
      </c>
      <c r="C1789" s="1" t="str">
        <f t="shared" si="109"/>
        <v>Sunday</v>
      </c>
      <c r="D1789" s="1" t="str">
        <f t="shared" si="110"/>
        <v>December</v>
      </c>
      <c r="E1789" s="1" t="str">
        <f t="shared" si="111"/>
        <v>2023</v>
      </c>
      <c r="F1789" t="s">
        <v>11</v>
      </c>
      <c r="G1789" s="5">
        <v>872.76885532477002</v>
      </c>
      <c r="H1789" s="10">
        <v>8</v>
      </c>
      <c r="I1789" s="2">
        <v>200.12272321583899</v>
      </c>
      <c r="J1789" t="s">
        <v>10</v>
      </c>
    </row>
    <row r="1790" spans="1:10" x14ac:dyDescent="0.25">
      <c r="A1790" t="s">
        <v>372</v>
      </c>
      <c r="B1790" s="1">
        <f t="shared" si="108"/>
        <v>45284</v>
      </c>
      <c r="C1790" s="1" t="str">
        <f t="shared" si="109"/>
        <v>Sunday</v>
      </c>
      <c r="D1790" s="1" t="str">
        <f t="shared" si="110"/>
        <v>December</v>
      </c>
      <c r="E1790" s="1" t="str">
        <f t="shared" si="111"/>
        <v>2023</v>
      </c>
      <c r="F1790" t="s">
        <v>13</v>
      </c>
      <c r="G1790" s="5">
        <v>1361.3783738151001</v>
      </c>
      <c r="H1790" s="10">
        <v>7</v>
      </c>
      <c r="I1790" s="2">
        <v>174.80683324630701</v>
      </c>
      <c r="J1790" t="s">
        <v>12</v>
      </c>
    </row>
    <row r="1791" spans="1:10" x14ac:dyDescent="0.25">
      <c r="A1791" t="s">
        <v>372</v>
      </c>
      <c r="B1791" s="1">
        <f t="shared" si="108"/>
        <v>45284</v>
      </c>
      <c r="C1791" s="1" t="str">
        <f t="shared" si="109"/>
        <v>Sunday</v>
      </c>
      <c r="D1791" s="1" t="str">
        <f t="shared" si="110"/>
        <v>December</v>
      </c>
      <c r="E1791" s="1" t="str">
        <f t="shared" si="111"/>
        <v>2023</v>
      </c>
      <c r="F1791" t="s">
        <v>16</v>
      </c>
      <c r="G1791" s="5">
        <v>154.76142964799999</v>
      </c>
      <c r="H1791" s="10">
        <v>14</v>
      </c>
      <c r="I1791" s="2">
        <v>295.52515485866002</v>
      </c>
      <c r="J1791" t="s">
        <v>12</v>
      </c>
    </row>
    <row r="1792" spans="1:10" x14ac:dyDescent="0.25">
      <c r="A1792" t="s">
        <v>373</v>
      </c>
      <c r="B1792" s="1">
        <f t="shared" si="108"/>
        <v>45285</v>
      </c>
      <c r="C1792" s="1" t="str">
        <f t="shared" si="109"/>
        <v>Monday</v>
      </c>
      <c r="D1792" s="1" t="str">
        <f t="shared" si="110"/>
        <v>December</v>
      </c>
      <c r="E1792" s="1" t="str">
        <f t="shared" si="111"/>
        <v>2023</v>
      </c>
      <c r="F1792" t="s">
        <v>7</v>
      </c>
      <c r="G1792" s="5">
        <v>582.41248571448</v>
      </c>
      <c r="H1792" s="10">
        <v>6</v>
      </c>
      <c r="I1792" s="2">
        <v>177.96221314303301</v>
      </c>
      <c r="J1792" t="s">
        <v>8</v>
      </c>
    </row>
    <row r="1793" spans="1:10" x14ac:dyDescent="0.25">
      <c r="A1793" t="s">
        <v>373</v>
      </c>
      <c r="B1793" s="1">
        <f t="shared" si="108"/>
        <v>45285</v>
      </c>
      <c r="C1793" s="1" t="str">
        <f t="shared" si="109"/>
        <v>Monday</v>
      </c>
      <c r="D1793" s="1" t="str">
        <f t="shared" si="110"/>
        <v>December</v>
      </c>
      <c r="E1793" s="1" t="str">
        <f t="shared" si="111"/>
        <v>2023</v>
      </c>
      <c r="F1793" t="s">
        <v>9</v>
      </c>
      <c r="G1793" s="5">
        <v>1511.2362341773</v>
      </c>
      <c r="H1793" s="10">
        <v>12</v>
      </c>
      <c r="I1793" s="2">
        <v>464.4491688</v>
      </c>
      <c r="J1793" t="s">
        <v>12</v>
      </c>
    </row>
    <row r="1794" spans="1:10" x14ac:dyDescent="0.25">
      <c r="A1794" t="s">
        <v>373</v>
      </c>
      <c r="B1794" s="1">
        <f t="shared" si="108"/>
        <v>45285</v>
      </c>
      <c r="C1794" s="1" t="str">
        <f t="shared" si="109"/>
        <v>Monday</v>
      </c>
      <c r="D1794" s="1" t="str">
        <f t="shared" si="110"/>
        <v>December</v>
      </c>
      <c r="E1794" s="1" t="str">
        <f t="shared" si="111"/>
        <v>2023</v>
      </c>
      <c r="F1794" t="s">
        <v>11</v>
      </c>
      <c r="G1794" s="5">
        <v>769.94788598634</v>
      </c>
      <c r="H1794" s="10">
        <v>17</v>
      </c>
      <c r="I1794" s="2">
        <v>254.00761164864201</v>
      </c>
      <c r="J1794" t="s">
        <v>10</v>
      </c>
    </row>
    <row r="1795" spans="1:10" x14ac:dyDescent="0.25">
      <c r="A1795" t="s">
        <v>373</v>
      </c>
      <c r="B1795" s="1">
        <f t="shared" ref="B1795:B1826" si="112">DATE(VALUE(RIGHT(A1795,4)),VALUE(LEFT(A1795,FIND("/",A1795)-1)),VALUE(MID(A1795,FIND("/",A1795)+1,FIND("/",A1795,FIND("/",A1795)+1)-FIND("/",A1795)-1)))</f>
        <v>45285</v>
      </c>
      <c r="C1795" s="1" t="str">
        <f t="shared" ref="C1795:C1826" si="113">TEXT(B1795,"DDDD")</f>
        <v>Monday</v>
      </c>
      <c r="D1795" s="1" t="str">
        <f t="shared" ref="D1795:D1826" si="114">TEXT(B1795,"MMMM")</f>
        <v>December</v>
      </c>
      <c r="E1795" s="1" t="str">
        <f t="shared" ref="E1795:E1826" si="115">TEXT(B1795,"YYYY")</f>
        <v>2023</v>
      </c>
      <c r="F1795" t="s">
        <v>13</v>
      </c>
      <c r="G1795" s="5">
        <v>12.4216877458</v>
      </c>
      <c r="H1795" s="10">
        <v>10</v>
      </c>
      <c r="I1795" s="2">
        <v>239.51849718621199</v>
      </c>
      <c r="J1795" t="s">
        <v>12</v>
      </c>
    </row>
    <row r="1796" spans="1:10" x14ac:dyDescent="0.25">
      <c r="A1796" t="s">
        <v>373</v>
      </c>
      <c r="B1796" s="1">
        <f t="shared" si="112"/>
        <v>45285</v>
      </c>
      <c r="C1796" s="1" t="str">
        <f t="shared" si="113"/>
        <v>Monday</v>
      </c>
      <c r="D1796" s="1" t="str">
        <f t="shared" si="114"/>
        <v>December</v>
      </c>
      <c r="E1796" s="1" t="str">
        <f t="shared" si="115"/>
        <v>2023</v>
      </c>
      <c r="F1796" t="s">
        <v>16</v>
      </c>
      <c r="G1796" s="5">
        <v>19.749958866349999</v>
      </c>
      <c r="H1796" s="10">
        <v>8</v>
      </c>
      <c r="I1796" s="2">
        <v>264.57851781528802</v>
      </c>
      <c r="J1796" t="s">
        <v>14</v>
      </c>
    </row>
    <row r="1797" spans="1:10" x14ac:dyDescent="0.25">
      <c r="A1797" t="s">
        <v>374</v>
      </c>
      <c r="B1797" s="1">
        <f t="shared" si="112"/>
        <v>45286</v>
      </c>
      <c r="C1797" s="1" t="str">
        <f t="shared" si="113"/>
        <v>Tuesday</v>
      </c>
      <c r="D1797" s="1" t="str">
        <f t="shared" si="114"/>
        <v>December</v>
      </c>
      <c r="E1797" s="1" t="str">
        <f t="shared" si="115"/>
        <v>2023</v>
      </c>
      <c r="F1797" t="s">
        <v>7</v>
      </c>
      <c r="G1797" s="5">
        <v>1241.6781549855</v>
      </c>
      <c r="H1797" s="10">
        <v>8</v>
      </c>
      <c r="I1797" s="2">
        <v>344.87367727171801</v>
      </c>
      <c r="J1797" t="s">
        <v>12</v>
      </c>
    </row>
    <row r="1798" spans="1:10" x14ac:dyDescent="0.25">
      <c r="A1798" t="s">
        <v>374</v>
      </c>
      <c r="B1798" s="1">
        <f t="shared" si="112"/>
        <v>45286</v>
      </c>
      <c r="C1798" s="1" t="str">
        <f t="shared" si="113"/>
        <v>Tuesday</v>
      </c>
      <c r="D1798" s="1" t="str">
        <f t="shared" si="114"/>
        <v>December</v>
      </c>
      <c r="E1798" s="1" t="str">
        <f t="shared" si="115"/>
        <v>2023</v>
      </c>
      <c r="F1798" t="s">
        <v>9</v>
      </c>
      <c r="G1798" s="5">
        <v>651.45667791567996</v>
      </c>
      <c r="H1798" s="10">
        <v>15</v>
      </c>
      <c r="I1798" s="2">
        <v>103.224709486164</v>
      </c>
      <c r="J1798" t="s">
        <v>14</v>
      </c>
    </row>
    <row r="1799" spans="1:10" x14ac:dyDescent="0.25">
      <c r="A1799" t="s">
        <v>374</v>
      </c>
      <c r="B1799" s="1">
        <f t="shared" si="112"/>
        <v>45286</v>
      </c>
      <c r="C1799" s="1" t="str">
        <f t="shared" si="113"/>
        <v>Tuesday</v>
      </c>
      <c r="D1799" s="1" t="str">
        <f t="shared" si="114"/>
        <v>December</v>
      </c>
      <c r="E1799" s="1" t="str">
        <f t="shared" si="115"/>
        <v>2023</v>
      </c>
      <c r="F1799" t="s">
        <v>11</v>
      </c>
      <c r="G1799" s="5">
        <v>481.14928112500002</v>
      </c>
      <c r="H1799" s="10">
        <v>16</v>
      </c>
      <c r="I1799" s="2">
        <v>185.31515933125999</v>
      </c>
      <c r="J1799" t="s">
        <v>14</v>
      </c>
    </row>
    <row r="1800" spans="1:10" x14ac:dyDescent="0.25">
      <c r="A1800" t="s">
        <v>374</v>
      </c>
      <c r="B1800" s="1">
        <f t="shared" si="112"/>
        <v>45286</v>
      </c>
      <c r="C1800" s="1" t="str">
        <f t="shared" si="113"/>
        <v>Tuesday</v>
      </c>
      <c r="D1800" s="1" t="str">
        <f t="shared" si="114"/>
        <v>December</v>
      </c>
      <c r="E1800" s="1" t="str">
        <f t="shared" si="115"/>
        <v>2023</v>
      </c>
      <c r="F1800" t="s">
        <v>13</v>
      </c>
      <c r="G1800" s="5">
        <v>95.814711761400005</v>
      </c>
      <c r="H1800" s="10">
        <v>17</v>
      </c>
      <c r="I1800" s="2">
        <v>254.65505744892801</v>
      </c>
      <c r="J1800" t="s">
        <v>12</v>
      </c>
    </row>
    <row r="1801" spans="1:10" x14ac:dyDescent="0.25">
      <c r="A1801" t="s">
        <v>374</v>
      </c>
      <c r="B1801" s="1">
        <f t="shared" si="112"/>
        <v>45286</v>
      </c>
      <c r="C1801" s="1" t="str">
        <f t="shared" si="113"/>
        <v>Tuesday</v>
      </c>
      <c r="D1801" s="1" t="str">
        <f t="shared" si="114"/>
        <v>December</v>
      </c>
      <c r="E1801" s="1" t="str">
        <f t="shared" si="115"/>
        <v>2023</v>
      </c>
      <c r="F1801" t="s">
        <v>16</v>
      </c>
      <c r="G1801" s="5">
        <v>194.31262597400001</v>
      </c>
      <c r="H1801" s="10">
        <v>7</v>
      </c>
      <c r="I1801" s="2">
        <v>244.299606892535</v>
      </c>
      <c r="J1801" t="s">
        <v>8</v>
      </c>
    </row>
    <row r="1802" spans="1:10" x14ac:dyDescent="0.25">
      <c r="A1802" t="s">
        <v>375</v>
      </c>
      <c r="B1802" s="1">
        <f t="shared" si="112"/>
        <v>45287</v>
      </c>
      <c r="C1802" s="1" t="str">
        <f t="shared" si="113"/>
        <v>Wednesday</v>
      </c>
      <c r="D1802" s="1" t="str">
        <f t="shared" si="114"/>
        <v>December</v>
      </c>
      <c r="E1802" s="1" t="str">
        <f t="shared" si="115"/>
        <v>2023</v>
      </c>
      <c r="F1802" t="s">
        <v>7</v>
      </c>
      <c r="G1802" s="5">
        <v>68.969898632980005</v>
      </c>
      <c r="H1802" s="10">
        <v>7</v>
      </c>
      <c r="I1802" s="2">
        <v>113.403053693863</v>
      </c>
      <c r="J1802" t="s">
        <v>8</v>
      </c>
    </row>
    <row r="1803" spans="1:10" x14ac:dyDescent="0.25">
      <c r="A1803" t="s">
        <v>375</v>
      </c>
      <c r="B1803" s="1">
        <f t="shared" si="112"/>
        <v>45287</v>
      </c>
      <c r="C1803" s="1" t="str">
        <f t="shared" si="113"/>
        <v>Wednesday</v>
      </c>
      <c r="D1803" s="1" t="str">
        <f t="shared" si="114"/>
        <v>December</v>
      </c>
      <c r="E1803" s="1" t="str">
        <f t="shared" si="115"/>
        <v>2023</v>
      </c>
      <c r="F1803" t="s">
        <v>9</v>
      </c>
      <c r="G1803" s="5">
        <v>369.12948699999998</v>
      </c>
      <c r="H1803" s="10">
        <v>7</v>
      </c>
      <c r="I1803" s="2">
        <v>45.779076727529997</v>
      </c>
      <c r="J1803" t="s">
        <v>12</v>
      </c>
    </row>
    <row r="1804" spans="1:10" x14ac:dyDescent="0.25">
      <c r="A1804" t="s">
        <v>375</v>
      </c>
      <c r="B1804" s="1">
        <f t="shared" si="112"/>
        <v>45287</v>
      </c>
      <c r="C1804" s="1" t="str">
        <f t="shared" si="113"/>
        <v>Wednesday</v>
      </c>
      <c r="D1804" s="1" t="str">
        <f t="shared" si="114"/>
        <v>December</v>
      </c>
      <c r="E1804" s="1" t="str">
        <f t="shared" si="115"/>
        <v>2023</v>
      </c>
      <c r="F1804" t="s">
        <v>11</v>
      </c>
      <c r="G1804" s="5">
        <v>616.94326767675</v>
      </c>
      <c r="H1804" s="10">
        <v>13</v>
      </c>
      <c r="I1804" s="2">
        <v>219.850590143928</v>
      </c>
      <c r="J1804" t="s">
        <v>12</v>
      </c>
    </row>
    <row r="1805" spans="1:10" x14ac:dyDescent="0.25">
      <c r="A1805" t="s">
        <v>375</v>
      </c>
      <c r="B1805" s="1">
        <f t="shared" si="112"/>
        <v>45287</v>
      </c>
      <c r="C1805" s="1" t="str">
        <f t="shared" si="113"/>
        <v>Wednesday</v>
      </c>
      <c r="D1805" s="1" t="str">
        <f t="shared" si="114"/>
        <v>December</v>
      </c>
      <c r="E1805" s="1" t="str">
        <f t="shared" si="115"/>
        <v>2023</v>
      </c>
      <c r="F1805" t="s">
        <v>13</v>
      </c>
      <c r="G1805" s="5">
        <v>1284.5525629795</v>
      </c>
      <c r="H1805" s="10">
        <v>5</v>
      </c>
      <c r="I1805" s="2">
        <v>148.622548089981</v>
      </c>
      <c r="J1805" t="s">
        <v>14</v>
      </c>
    </row>
    <row r="1806" spans="1:10" x14ac:dyDescent="0.25">
      <c r="A1806" t="s">
        <v>375</v>
      </c>
      <c r="B1806" s="1">
        <f t="shared" si="112"/>
        <v>45287</v>
      </c>
      <c r="C1806" s="1" t="str">
        <f t="shared" si="113"/>
        <v>Wednesday</v>
      </c>
      <c r="D1806" s="1" t="str">
        <f t="shared" si="114"/>
        <v>December</v>
      </c>
      <c r="E1806" s="1" t="str">
        <f t="shared" si="115"/>
        <v>2023</v>
      </c>
      <c r="F1806" t="s">
        <v>16</v>
      </c>
      <c r="G1806" s="5">
        <v>144.51591159643999</v>
      </c>
      <c r="H1806" s="10">
        <v>7</v>
      </c>
      <c r="I1806" s="2">
        <v>553.699993631192</v>
      </c>
      <c r="J1806" t="s">
        <v>10</v>
      </c>
    </row>
    <row r="1807" spans="1:10" x14ac:dyDescent="0.25">
      <c r="A1807" t="s">
        <v>376</v>
      </c>
      <c r="B1807" s="1">
        <f t="shared" si="112"/>
        <v>45288</v>
      </c>
      <c r="C1807" s="1" t="str">
        <f t="shared" si="113"/>
        <v>Thursday</v>
      </c>
      <c r="D1807" s="1" t="str">
        <f t="shared" si="114"/>
        <v>December</v>
      </c>
      <c r="E1807" s="1" t="str">
        <f t="shared" si="115"/>
        <v>2023</v>
      </c>
      <c r="F1807" t="s">
        <v>7</v>
      </c>
      <c r="G1807" s="5">
        <v>1213.6951629651001</v>
      </c>
      <c r="H1807" s="10">
        <v>2</v>
      </c>
      <c r="I1807" s="2">
        <v>203.52155727456901</v>
      </c>
      <c r="J1807" t="s">
        <v>10</v>
      </c>
    </row>
    <row r="1808" spans="1:10" x14ac:dyDescent="0.25">
      <c r="A1808" t="s">
        <v>376</v>
      </c>
      <c r="B1808" s="1">
        <f t="shared" si="112"/>
        <v>45288</v>
      </c>
      <c r="C1808" s="1" t="str">
        <f t="shared" si="113"/>
        <v>Thursday</v>
      </c>
      <c r="D1808" s="1" t="str">
        <f t="shared" si="114"/>
        <v>December</v>
      </c>
      <c r="E1808" s="1" t="str">
        <f t="shared" si="115"/>
        <v>2023</v>
      </c>
      <c r="F1808" t="s">
        <v>9</v>
      </c>
      <c r="G1808" s="5">
        <v>1171.4484293959999</v>
      </c>
      <c r="H1808" s="10">
        <v>7</v>
      </c>
      <c r="I1808" s="2">
        <v>140.57140780987999</v>
      </c>
      <c r="J1808" t="s">
        <v>8</v>
      </c>
    </row>
    <row r="1809" spans="1:10" x14ac:dyDescent="0.25">
      <c r="A1809" t="s">
        <v>376</v>
      </c>
      <c r="B1809" s="1">
        <f t="shared" si="112"/>
        <v>45288</v>
      </c>
      <c r="C1809" s="1" t="str">
        <f t="shared" si="113"/>
        <v>Thursday</v>
      </c>
      <c r="D1809" s="1" t="str">
        <f t="shared" si="114"/>
        <v>December</v>
      </c>
      <c r="E1809" s="1" t="str">
        <f t="shared" si="115"/>
        <v>2023</v>
      </c>
      <c r="F1809" t="s">
        <v>11</v>
      </c>
      <c r="G1809" s="5">
        <v>989.44677548931998</v>
      </c>
      <c r="H1809" s="10">
        <v>12</v>
      </c>
      <c r="I1809" s="2">
        <v>317.25528246601903</v>
      </c>
      <c r="J1809" t="s">
        <v>10</v>
      </c>
    </row>
    <row r="1810" spans="1:10" x14ac:dyDescent="0.25">
      <c r="A1810" t="s">
        <v>376</v>
      </c>
      <c r="B1810" s="1">
        <f t="shared" si="112"/>
        <v>45288</v>
      </c>
      <c r="C1810" s="1" t="str">
        <f t="shared" si="113"/>
        <v>Thursday</v>
      </c>
      <c r="D1810" s="1" t="str">
        <f t="shared" si="114"/>
        <v>December</v>
      </c>
      <c r="E1810" s="1" t="str">
        <f t="shared" si="115"/>
        <v>2023</v>
      </c>
      <c r="F1810" t="s">
        <v>13</v>
      </c>
      <c r="G1810" s="5">
        <v>131.16431647726</v>
      </c>
      <c r="H1810" s="10">
        <v>2</v>
      </c>
      <c r="I1810" s="2">
        <v>222.44121566635499</v>
      </c>
      <c r="J1810" t="s">
        <v>10</v>
      </c>
    </row>
    <row r="1811" spans="1:10" x14ac:dyDescent="0.25">
      <c r="A1811" t="s">
        <v>376</v>
      </c>
      <c r="B1811" s="1">
        <f t="shared" si="112"/>
        <v>45288</v>
      </c>
      <c r="C1811" s="1" t="str">
        <f t="shared" si="113"/>
        <v>Thursday</v>
      </c>
      <c r="D1811" s="1" t="str">
        <f t="shared" si="114"/>
        <v>December</v>
      </c>
      <c r="E1811" s="1" t="str">
        <f t="shared" si="115"/>
        <v>2023</v>
      </c>
      <c r="F1811" t="s">
        <v>16</v>
      </c>
      <c r="G1811" s="5">
        <v>877.76196781251895</v>
      </c>
      <c r="H1811" s="10">
        <v>6</v>
      </c>
      <c r="I1811" s="2">
        <v>90.172008032610606</v>
      </c>
      <c r="J1811" t="s">
        <v>10</v>
      </c>
    </row>
    <row r="1812" spans="1:10" x14ac:dyDescent="0.25">
      <c r="A1812" t="s">
        <v>377</v>
      </c>
      <c r="B1812" s="1">
        <f t="shared" si="112"/>
        <v>45289</v>
      </c>
      <c r="C1812" s="1" t="str">
        <f t="shared" si="113"/>
        <v>Friday</v>
      </c>
      <c r="D1812" s="1" t="str">
        <f t="shared" si="114"/>
        <v>December</v>
      </c>
      <c r="E1812" s="1" t="str">
        <f t="shared" si="115"/>
        <v>2023</v>
      </c>
      <c r="F1812" t="s">
        <v>7</v>
      </c>
      <c r="G1812" s="5">
        <v>782.92622979709995</v>
      </c>
      <c r="H1812" s="10">
        <v>2</v>
      </c>
      <c r="I1812" s="2">
        <v>220.857116671797</v>
      </c>
      <c r="J1812" t="s">
        <v>12</v>
      </c>
    </row>
    <row r="1813" spans="1:10" x14ac:dyDescent="0.25">
      <c r="A1813" t="s">
        <v>377</v>
      </c>
      <c r="B1813" s="1">
        <f t="shared" si="112"/>
        <v>45289</v>
      </c>
      <c r="C1813" s="1" t="str">
        <f t="shared" si="113"/>
        <v>Friday</v>
      </c>
      <c r="D1813" s="1" t="str">
        <f t="shared" si="114"/>
        <v>December</v>
      </c>
      <c r="E1813" s="1" t="str">
        <f t="shared" si="115"/>
        <v>2023</v>
      </c>
      <c r="F1813" t="s">
        <v>9</v>
      </c>
      <c r="G1813" s="5">
        <v>999.84324289959102</v>
      </c>
      <c r="H1813" s="10">
        <v>6</v>
      </c>
      <c r="I1813" s="2">
        <v>341.43651917442298</v>
      </c>
      <c r="J1813" t="s">
        <v>8</v>
      </c>
    </row>
    <row r="1814" spans="1:10" x14ac:dyDescent="0.25">
      <c r="A1814" t="s">
        <v>377</v>
      </c>
      <c r="B1814" s="1">
        <f t="shared" si="112"/>
        <v>45289</v>
      </c>
      <c r="C1814" s="1" t="str">
        <f t="shared" si="113"/>
        <v>Friday</v>
      </c>
      <c r="D1814" s="1" t="str">
        <f t="shared" si="114"/>
        <v>December</v>
      </c>
      <c r="E1814" s="1" t="str">
        <f t="shared" si="115"/>
        <v>2023</v>
      </c>
      <c r="F1814" t="s">
        <v>11</v>
      </c>
      <c r="G1814" s="5">
        <v>173.18141772300001</v>
      </c>
      <c r="H1814" s="10">
        <v>9</v>
      </c>
      <c r="I1814" s="2">
        <v>135.02305883889301</v>
      </c>
      <c r="J1814" t="s">
        <v>10</v>
      </c>
    </row>
    <row r="1815" spans="1:10" x14ac:dyDescent="0.25">
      <c r="A1815" t="s">
        <v>377</v>
      </c>
      <c r="B1815" s="1">
        <f t="shared" si="112"/>
        <v>45289</v>
      </c>
      <c r="C1815" s="1" t="str">
        <f t="shared" si="113"/>
        <v>Friday</v>
      </c>
      <c r="D1815" s="1" t="str">
        <f t="shared" si="114"/>
        <v>December</v>
      </c>
      <c r="E1815" s="1" t="str">
        <f t="shared" si="115"/>
        <v>2023</v>
      </c>
      <c r="F1815" t="s">
        <v>13</v>
      </c>
      <c r="G1815" s="5">
        <v>371.96831343820003</v>
      </c>
      <c r="H1815" s="10">
        <v>1</v>
      </c>
      <c r="I1815" s="2">
        <v>93.302684010279293</v>
      </c>
      <c r="J1815" t="s">
        <v>12</v>
      </c>
    </row>
    <row r="1816" spans="1:10" x14ac:dyDescent="0.25">
      <c r="A1816" t="s">
        <v>377</v>
      </c>
      <c r="B1816" s="1">
        <f t="shared" si="112"/>
        <v>45289</v>
      </c>
      <c r="C1816" s="1" t="str">
        <f t="shared" si="113"/>
        <v>Friday</v>
      </c>
      <c r="D1816" s="1" t="str">
        <f t="shared" si="114"/>
        <v>December</v>
      </c>
      <c r="E1816" s="1" t="str">
        <f t="shared" si="115"/>
        <v>2023</v>
      </c>
      <c r="F1816" t="s">
        <v>16</v>
      </c>
      <c r="G1816" s="5">
        <v>1257.5455515758699</v>
      </c>
      <c r="H1816" s="10">
        <v>1</v>
      </c>
      <c r="I1816" s="2">
        <v>322.62238393208298</v>
      </c>
      <c r="J1816" t="s">
        <v>14</v>
      </c>
    </row>
    <row r="1817" spans="1:10" x14ac:dyDescent="0.25">
      <c r="A1817" t="s">
        <v>378</v>
      </c>
      <c r="B1817" s="1">
        <f t="shared" si="112"/>
        <v>45290</v>
      </c>
      <c r="C1817" s="1" t="str">
        <f t="shared" si="113"/>
        <v>Saturday</v>
      </c>
      <c r="D1817" s="1" t="str">
        <f t="shared" si="114"/>
        <v>December</v>
      </c>
      <c r="E1817" s="1" t="str">
        <f t="shared" si="115"/>
        <v>2023</v>
      </c>
      <c r="F1817" t="s">
        <v>7</v>
      </c>
      <c r="G1817" s="5">
        <v>125.6824753599</v>
      </c>
      <c r="H1817" s="10">
        <v>1</v>
      </c>
      <c r="I1817" s="2">
        <v>128.25582196536101</v>
      </c>
      <c r="J1817" t="s">
        <v>12</v>
      </c>
    </row>
    <row r="1818" spans="1:10" x14ac:dyDescent="0.25">
      <c r="A1818" t="s">
        <v>378</v>
      </c>
      <c r="B1818" s="1">
        <f t="shared" si="112"/>
        <v>45290</v>
      </c>
      <c r="C1818" s="1" t="str">
        <f t="shared" si="113"/>
        <v>Saturday</v>
      </c>
      <c r="D1818" s="1" t="str">
        <f t="shared" si="114"/>
        <v>December</v>
      </c>
      <c r="E1818" s="1" t="str">
        <f t="shared" si="115"/>
        <v>2023</v>
      </c>
      <c r="F1818" t="s">
        <v>9</v>
      </c>
      <c r="G1818" s="5">
        <v>1188.6357372721</v>
      </c>
      <c r="H1818" s="10">
        <v>17</v>
      </c>
      <c r="I1818" s="2">
        <v>234.22843154506</v>
      </c>
      <c r="J1818" t="s">
        <v>8</v>
      </c>
    </row>
    <row r="1819" spans="1:10" x14ac:dyDescent="0.25">
      <c r="A1819" t="s">
        <v>378</v>
      </c>
      <c r="B1819" s="1">
        <f t="shared" si="112"/>
        <v>45290</v>
      </c>
      <c r="C1819" s="1" t="str">
        <f t="shared" si="113"/>
        <v>Saturday</v>
      </c>
      <c r="D1819" s="1" t="str">
        <f t="shared" si="114"/>
        <v>December</v>
      </c>
      <c r="E1819" s="1" t="str">
        <f t="shared" si="115"/>
        <v>2023</v>
      </c>
      <c r="F1819" t="s">
        <v>11</v>
      </c>
      <c r="G1819" s="5">
        <v>892.78867175209996</v>
      </c>
      <c r="H1819" s="10">
        <v>2</v>
      </c>
      <c r="I1819" s="2">
        <v>243.80347756436601</v>
      </c>
      <c r="J1819" t="s">
        <v>8</v>
      </c>
    </row>
    <row r="1820" spans="1:10" x14ac:dyDescent="0.25">
      <c r="A1820" t="s">
        <v>378</v>
      </c>
      <c r="B1820" s="1">
        <f t="shared" si="112"/>
        <v>45290</v>
      </c>
      <c r="C1820" s="1" t="str">
        <f t="shared" si="113"/>
        <v>Saturday</v>
      </c>
      <c r="D1820" s="1" t="str">
        <f t="shared" si="114"/>
        <v>December</v>
      </c>
      <c r="E1820" s="1" t="str">
        <f t="shared" si="115"/>
        <v>2023</v>
      </c>
      <c r="F1820" t="s">
        <v>13</v>
      </c>
      <c r="G1820" s="5">
        <v>1147.2673636424699</v>
      </c>
      <c r="H1820" s="10">
        <v>13</v>
      </c>
      <c r="I1820" s="2">
        <v>340.50941977387498</v>
      </c>
      <c r="J1820" t="s">
        <v>10</v>
      </c>
    </row>
    <row r="1821" spans="1:10" x14ac:dyDescent="0.25">
      <c r="A1821" t="s">
        <v>378</v>
      </c>
      <c r="B1821" s="1">
        <f t="shared" si="112"/>
        <v>45290</v>
      </c>
      <c r="C1821" s="1" t="str">
        <f t="shared" si="113"/>
        <v>Saturday</v>
      </c>
      <c r="D1821" s="1" t="str">
        <f t="shared" si="114"/>
        <v>December</v>
      </c>
      <c r="E1821" s="1" t="str">
        <f t="shared" si="115"/>
        <v>2023</v>
      </c>
      <c r="F1821" t="s">
        <v>16</v>
      </c>
      <c r="G1821" s="5">
        <v>856.74277331863902</v>
      </c>
      <c r="H1821" s="10">
        <v>7</v>
      </c>
      <c r="I1821" s="2">
        <v>87.181646302305595</v>
      </c>
      <c r="J1821" t="s">
        <v>12</v>
      </c>
    </row>
    <row r="1822" spans="1:10" x14ac:dyDescent="0.25">
      <c r="A1822" t="s">
        <v>379</v>
      </c>
      <c r="B1822" s="1">
        <f t="shared" si="112"/>
        <v>45291</v>
      </c>
      <c r="C1822" s="1" t="str">
        <f t="shared" si="113"/>
        <v>Sunday</v>
      </c>
      <c r="D1822" s="1" t="str">
        <f t="shared" si="114"/>
        <v>December</v>
      </c>
      <c r="E1822" s="1" t="str">
        <f t="shared" si="115"/>
        <v>2023</v>
      </c>
      <c r="F1822" t="s">
        <v>7</v>
      </c>
      <c r="G1822" s="5">
        <v>1132.74938737</v>
      </c>
      <c r="H1822" s="10">
        <v>14</v>
      </c>
      <c r="I1822" s="2">
        <v>353.464221248873</v>
      </c>
      <c r="J1822" t="s">
        <v>14</v>
      </c>
    </row>
    <row r="1823" spans="1:10" x14ac:dyDescent="0.25">
      <c r="A1823" t="s">
        <v>379</v>
      </c>
      <c r="B1823" s="1">
        <f t="shared" si="112"/>
        <v>45291</v>
      </c>
      <c r="C1823" s="1" t="str">
        <f t="shared" si="113"/>
        <v>Sunday</v>
      </c>
      <c r="D1823" s="1" t="str">
        <f t="shared" si="114"/>
        <v>December</v>
      </c>
      <c r="E1823" s="1" t="str">
        <f t="shared" si="115"/>
        <v>2023</v>
      </c>
      <c r="F1823" t="s">
        <v>9</v>
      </c>
      <c r="G1823" s="5">
        <v>679.26197674561001</v>
      </c>
      <c r="H1823" s="10">
        <v>8</v>
      </c>
      <c r="I1823" s="2">
        <v>183.860199655363</v>
      </c>
      <c r="J1823" t="s">
        <v>8</v>
      </c>
    </row>
    <row r="1824" spans="1:10" x14ac:dyDescent="0.25">
      <c r="A1824" t="s">
        <v>379</v>
      </c>
      <c r="B1824" s="1">
        <f t="shared" si="112"/>
        <v>45291</v>
      </c>
      <c r="C1824" s="1" t="str">
        <f t="shared" si="113"/>
        <v>Sunday</v>
      </c>
      <c r="D1824" s="1" t="str">
        <f t="shared" si="114"/>
        <v>December</v>
      </c>
      <c r="E1824" s="1" t="str">
        <f t="shared" si="115"/>
        <v>2023</v>
      </c>
      <c r="F1824" t="s">
        <v>11</v>
      </c>
      <c r="G1824" s="5">
        <v>1193.7337278718001</v>
      </c>
      <c r="H1824" s="10">
        <v>10</v>
      </c>
      <c r="I1824" s="2">
        <v>359.01093816922298</v>
      </c>
      <c r="J1824" t="s">
        <v>12</v>
      </c>
    </row>
    <row r="1825" spans="1:10" x14ac:dyDescent="0.25">
      <c r="A1825" t="s">
        <v>379</v>
      </c>
      <c r="B1825" s="1">
        <f t="shared" si="112"/>
        <v>45291</v>
      </c>
      <c r="C1825" s="1" t="str">
        <f t="shared" si="113"/>
        <v>Sunday</v>
      </c>
      <c r="D1825" s="1" t="str">
        <f t="shared" si="114"/>
        <v>December</v>
      </c>
      <c r="E1825" s="1" t="str">
        <f t="shared" si="115"/>
        <v>2023</v>
      </c>
      <c r="F1825" t="s">
        <v>13</v>
      </c>
      <c r="G1825" s="5">
        <v>176.11876152549999</v>
      </c>
      <c r="H1825" s="10">
        <v>17</v>
      </c>
      <c r="I1825" s="2">
        <v>259.570915782366</v>
      </c>
      <c r="J1825" t="s">
        <v>8</v>
      </c>
    </row>
    <row r="1826" spans="1:10" x14ac:dyDescent="0.25">
      <c r="A1826" t="s">
        <v>379</v>
      </c>
      <c r="B1826" s="1">
        <f t="shared" si="112"/>
        <v>45291</v>
      </c>
      <c r="C1826" s="1" t="str">
        <f t="shared" si="113"/>
        <v>Sunday</v>
      </c>
      <c r="D1826" s="1" t="str">
        <f t="shared" si="114"/>
        <v>December</v>
      </c>
      <c r="E1826" s="1" t="str">
        <f t="shared" si="115"/>
        <v>2023</v>
      </c>
      <c r="F1826" t="s">
        <v>16</v>
      </c>
      <c r="G1826" s="5">
        <v>73.973443248628996</v>
      </c>
      <c r="H1826" s="10">
        <v>14</v>
      </c>
      <c r="I1826" s="2">
        <v>134.10600640661599</v>
      </c>
      <c r="J1826" t="s">
        <v>10</v>
      </c>
    </row>
  </sheetData>
  <mergeCells count="4">
    <mergeCell ref="M1:N1"/>
    <mergeCell ref="M4:N4"/>
    <mergeCell ref="M7:N7"/>
    <mergeCell ref="M10:N10"/>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153E6-CCF8-4F12-8572-8C492AD0285D}">
  <sheetPr>
    <tabColor theme="3" tint="0.499984740745262"/>
  </sheetPr>
  <dimension ref="C4:AE26"/>
  <sheetViews>
    <sheetView topLeftCell="B2" workbookViewId="0">
      <selection activeCell="D13" sqref="D13"/>
    </sheetView>
  </sheetViews>
  <sheetFormatPr defaultRowHeight="15" x14ac:dyDescent="0.25"/>
  <cols>
    <col min="3" max="3" width="13.42578125" bestFit="1" customWidth="1"/>
    <col min="4" max="4" width="15.5703125" bestFit="1" customWidth="1"/>
    <col min="6" max="6" width="13.42578125" bestFit="1" customWidth="1"/>
    <col min="7" max="7" width="12.7109375" bestFit="1" customWidth="1"/>
    <col min="8" max="8" width="10.42578125" bestFit="1" customWidth="1"/>
    <col min="9" max="9" width="13.42578125" bestFit="1" customWidth="1"/>
    <col min="10" max="10" width="12.7109375" bestFit="1" customWidth="1"/>
    <col min="11" max="11" width="10.42578125" bestFit="1" customWidth="1"/>
    <col min="12" max="12" width="13.42578125" bestFit="1" customWidth="1"/>
    <col min="13" max="13" width="16.85546875" bestFit="1" customWidth="1"/>
    <col min="14" max="17" width="13.7109375" bestFit="1" customWidth="1"/>
    <col min="18" max="18" width="12.85546875" bestFit="1" customWidth="1"/>
    <col min="19" max="19" width="15.5703125" bestFit="1" customWidth="1"/>
    <col min="20" max="20" width="16.85546875" bestFit="1" customWidth="1"/>
    <col min="21" max="21" width="9.140625" bestFit="1" customWidth="1"/>
    <col min="22" max="22" width="11.140625" bestFit="1" customWidth="1"/>
    <col min="23" max="23" width="12.7109375" bestFit="1" customWidth="1"/>
    <col min="24" max="24" width="9.140625" bestFit="1" customWidth="1"/>
    <col min="26" max="26" width="13.42578125" bestFit="1" customWidth="1"/>
    <col min="27" max="27" width="16.85546875" bestFit="1" customWidth="1"/>
    <col min="28" max="31" width="12.7109375" bestFit="1" customWidth="1"/>
    <col min="32" max="32" width="11.28515625" bestFit="1" customWidth="1"/>
  </cols>
  <sheetData>
    <row r="4" spans="3:31" x14ac:dyDescent="0.25">
      <c r="C4" s="13" t="s">
        <v>385</v>
      </c>
      <c r="D4" t="s">
        <v>388</v>
      </c>
      <c r="F4" s="13" t="s">
        <v>385</v>
      </c>
      <c r="G4" t="s">
        <v>388</v>
      </c>
      <c r="I4" s="13" t="s">
        <v>385</v>
      </c>
      <c r="J4" t="s">
        <v>386</v>
      </c>
      <c r="L4" s="13" t="s">
        <v>388</v>
      </c>
      <c r="M4" s="13" t="s">
        <v>390</v>
      </c>
      <c r="S4" s="13" t="s">
        <v>389</v>
      </c>
      <c r="T4" s="13" t="s">
        <v>390</v>
      </c>
      <c r="Z4" s="13" t="s">
        <v>386</v>
      </c>
      <c r="AA4" s="13" t="s">
        <v>390</v>
      </c>
    </row>
    <row r="5" spans="3:31" x14ac:dyDescent="0.25">
      <c r="C5" s="14" t="s">
        <v>391</v>
      </c>
      <c r="D5" s="15">
        <v>118824.3468344159</v>
      </c>
      <c r="F5" s="14" t="s">
        <v>14</v>
      </c>
      <c r="G5" s="15">
        <v>363546.63832646667</v>
      </c>
      <c r="I5" s="14" t="s">
        <v>391</v>
      </c>
      <c r="J5" s="15">
        <v>39711.436220951393</v>
      </c>
      <c r="L5" s="13" t="s">
        <v>385</v>
      </c>
      <c r="M5" t="s">
        <v>16</v>
      </c>
      <c r="N5" t="s">
        <v>9</v>
      </c>
      <c r="O5" t="s">
        <v>7</v>
      </c>
      <c r="P5" t="s">
        <v>11</v>
      </c>
      <c r="Q5" t="s">
        <v>13</v>
      </c>
      <c r="S5" s="13" t="s">
        <v>385</v>
      </c>
      <c r="T5" t="s">
        <v>16</v>
      </c>
      <c r="U5" t="s">
        <v>9</v>
      </c>
      <c r="V5" t="s">
        <v>7</v>
      </c>
      <c r="W5" t="s">
        <v>11</v>
      </c>
      <c r="X5" t="s">
        <v>13</v>
      </c>
      <c r="Z5" s="13" t="s">
        <v>385</v>
      </c>
      <c r="AA5" t="s">
        <v>16</v>
      </c>
      <c r="AB5" t="s">
        <v>9</v>
      </c>
      <c r="AC5" t="s">
        <v>7</v>
      </c>
      <c r="AD5" t="s">
        <v>11</v>
      </c>
      <c r="AE5" t="s">
        <v>13</v>
      </c>
    </row>
    <row r="6" spans="3:31" x14ac:dyDescent="0.25">
      <c r="C6" s="14" t="s">
        <v>392</v>
      </c>
      <c r="D6" s="15">
        <v>105601.14298598682</v>
      </c>
      <c r="F6" s="14" t="s">
        <v>12</v>
      </c>
      <c r="G6" s="15">
        <v>360493.85416317108</v>
      </c>
      <c r="I6" s="14" t="s">
        <v>392</v>
      </c>
      <c r="J6" s="15">
        <v>34353.123611684641</v>
      </c>
      <c r="L6" s="14" t="s">
        <v>402</v>
      </c>
      <c r="M6" s="15">
        <v>22259.147109771984</v>
      </c>
      <c r="N6" s="15">
        <v>23235.893484902805</v>
      </c>
      <c r="O6" s="15">
        <v>22740.070483275558</v>
      </c>
      <c r="P6" s="15">
        <v>24374.175055679734</v>
      </c>
      <c r="Q6" s="15">
        <v>17909.966320497882</v>
      </c>
      <c r="S6" s="14" t="s">
        <v>391</v>
      </c>
      <c r="T6" s="16">
        <v>344</v>
      </c>
      <c r="U6" s="16">
        <v>322</v>
      </c>
      <c r="V6" s="16">
        <v>290</v>
      </c>
      <c r="W6" s="16">
        <v>327</v>
      </c>
      <c r="X6" s="16">
        <v>253</v>
      </c>
      <c r="Z6" s="14" t="s">
        <v>395</v>
      </c>
      <c r="AA6" s="15">
        <v>7826.1918635760176</v>
      </c>
      <c r="AB6" s="15">
        <v>7389.6984712009962</v>
      </c>
      <c r="AC6" s="15">
        <v>8587.6139059586621</v>
      </c>
      <c r="AD6" s="15">
        <v>8063.9748481408087</v>
      </c>
      <c r="AE6" s="15">
        <v>8660.2104768429635</v>
      </c>
    </row>
    <row r="7" spans="3:31" x14ac:dyDescent="0.25">
      <c r="C7" s="14" t="s">
        <v>393</v>
      </c>
      <c r="D7" s="15">
        <v>121248.87282716241</v>
      </c>
      <c r="F7" s="14" t="s">
        <v>8</v>
      </c>
      <c r="G7" s="15">
        <v>343830.23428298323</v>
      </c>
      <c r="I7" s="14" t="s">
        <v>393</v>
      </c>
      <c r="J7" s="15">
        <v>38584.599284871023</v>
      </c>
      <c r="L7" s="14" t="s">
        <v>401</v>
      </c>
      <c r="M7" s="15">
        <v>25041.480330907641</v>
      </c>
      <c r="N7" s="15">
        <v>18321.763678949883</v>
      </c>
      <c r="O7" s="15">
        <v>23752.380158962551</v>
      </c>
      <c r="P7" s="15">
        <v>23545.756343356719</v>
      </c>
      <c r="Q7" s="15">
        <v>21575.131983454965</v>
      </c>
      <c r="S7" s="14" t="s">
        <v>392</v>
      </c>
      <c r="T7" s="16">
        <v>317</v>
      </c>
      <c r="U7" s="16">
        <v>338</v>
      </c>
      <c r="V7" s="16">
        <v>296</v>
      </c>
      <c r="W7" s="16">
        <v>283</v>
      </c>
      <c r="X7" s="16">
        <v>283</v>
      </c>
      <c r="Z7" s="14" t="s">
        <v>397</v>
      </c>
      <c r="AA7" s="15">
        <v>8214.9876098073946</v>
      </c>
      <c r="AB7" s="15">
        <v>7361.9615292215731</v>
      </c>
      <c r="AC7" s="15">
        <v>9324.6065477500142</v>
      </c>
      <c r="AD7" s="15">
        <v>7755.0782193985769</v>
      </c>
      <c r="AE7" s="15">
        <v>7552.3222024221504</v>
      </c>
    </row>
    <row r="8" spans="3:31" x14ac:dyDescent="0.25">
      <c r="C8" s="14" t="s">
        <v>394</v>
      </c>
      <c r="D8" s="15">
        <v>112464.87085533387</v>
      </c>
      <c r="F8" s="14" t="s">
        <v>10</v>
      </c>
      <c r="G8" s="15">
        <v>299442.50100075244</v>
      </c>
      <c r="I8" s="14" t="s">
        <v>394</v>
      </c>
      <c r="J8" s="15">
        <v>37895.203186575971</v>
      </c>
      <c r="L8" s="14" t="s">
        <v>400</v>
      </c>
      <c r="M8" s="15">
        <v>23641.871844759982</v>
      </c>
      <c r="N8" s="15">
        <v>22658.183027815961</v>
      </c>
      <c r="O8" s="15">
        <v>22052.000997619067</v>
      </c>
      <c r="P8" s="15">
        <v>24882.623927986959</v>
      </c>
      <c r="Q8" s="15">
        <v>20282.023617304432</v>
      </c>
      <c r="S8" s="14" t="s">
        <v>393</v>
      </c>
      <c r="T8" s="16">
        <v>280</v>
      </c>
      <c r="U8" s="16">
        <v>279</v>
      </c>
      <c r="V8" s="16">
        <v>318</v>
      </c>
      <c r="W8" s="16">
        <v>318</v>
      </c>
      <c r="X8" s="16">
        <v>252</v>
      </c>
      <c r="Z8" s="14" t="s">
        <v>391</v>
      </c>
      <c r="AA8" s="15">
        <v>8038.2089068377427</v>
      </c>
      <c r="AB8" s="15">
        <v>8418.5536882453453</v>
      </c>
      <c r="AC8" s="15">
        <v>7323.734669577203</v>
      </c>
      <c r="AD8" s="15">
        <v>7647.4766696296947</v>
      </c>
      <c r="AE8" s="15">
        <v>8283.4622866614245</v>
      </c>
    </row>
    <row r="9" spans="3:31" x14ac:dyDescent="0.25">
      <c r="C9" s="14" t="s">
        <v>395</v>
      </c>
      <c r="D9" s="15">
        <v>116050.15789428799</v>
      </c>
      <c r="F9" s="14" t="s">
        <v>380</v>
      </c>
      <c r="G9" s="15">
        <v>7189.9435398082296</v>
      </c>
      <c r="I9" s="14" t="s">
        <v>395</v>
      </c>
      <c r="J9" s="15">
        <v>40527.689565719447</v>
      </c>
      <c r="L9" s="14" t="s">
        <v>399</v>
      </c>
      <c r="M9" s="15">
        <v>24169.727301531711</v>
      </c>
      <c r="N9" s="15">
        <v>25170.493872017229</v>
      </c>
      <c r="O9" s="15">
        <v>24819.731343926956</v>
      </c>
      <c r="P9" s="15">
        <v>23709.939220465669</v>
      </c>
      <c r="Q9" s="15">
        <v>20368.011980107633</v>
      </c>
      <c r="S9" s="14" t="s">
        <v>394</v>
      </c>
      <c r="T9" s="16">
        <v>271</v>
      </c>
      <c r="U9" s="16">
        <v>273</v>
      </c>
      <c r="V9" s="16">
        <v>271</v>
      </c>
      <c r="W9" s="16">
        <v>296</v>
      </c>
      <c r="X9" s="16">
        <v>335</v>
      </c>
      <c r="Z9" s="14" t="s">
        <v>396</v>
      </c>
      <c r="AA9" s="15">
        <v>8987.8419856246619</v>
      </c>
      <c r="AB9" s="15">
        <v>8396.7673775040967</v>
      </c>
      <c r="AC9" s="15">
        <v>7676.7500913311715</v>
      </c>
      <c r="AD9" s="15">
        <v>7085.5767975211011</v>
      </c>
      <c r="AE9" s="15">
        <v>6895.7503531085058</v>
      </c>
    </row>
    <row r="10" spans="3:31" x14ac:dyDescent="0.25">
      <c r="C10" s="14" t="s">
        <v>396</v>
      </c>
      <c r="D10" s="15">
        <v>109610.91425252421</v>
      </c>
      <c r="F10" s="14" t="s">
        <v>387</v>
      </c>
      <c r="G10" s="15">
        <v>1374503.1713131818</v>
      </c>
      <c r="I10" s="14" t="s">
        <v>396</v>
      </c>
      <c r="J10" s="15">
        <v>39042.686605089533</v>
      </c>
      <c r="L10" s="14" t="s">
        <v>398</v>
      </c>
      <c r="M10" s="15">
        <v>25876.024340140521</v>
      </c>
      <c r="N10" s="15">
        <v>23349.307020978697</v>
      </c>
      <c r="O10" s="15">
        <v>29243.080041975973</v>
      </c>
      <c r="P10" s="15">
        <v>20232.479261063607</v>
      </c>
      <c r="Q10" s="15">
        <v>18672.39389338878</v>
      </c>
      <c r="S10" s="14" t="s">
        <v>395</v>
      </c>
      <c r="T10" s="16">
        <v>340</v>
      </c>
      <c r="U10" s="16">
        <v>306</v>
      </c>
      <c r="V10" s="16">
        <v>329</v>
      </c>
      <c r="W10" s="16">
        <v>304</v>
      </c>
      <c r="X10" s="16">
        <v>324</v>
      </c>
      <c r="Z10" s="14" t="s">
        <v>402</v>
      </c>
      <c r="AA10" s="15">
        <v>8086.3911112615961</v>
      </c>
      <c r="AB10" s="15">
        <v>8361.2577964672819</v>
      </c>
      <c r="AC10" s="15">
        <v>8284.6870096346247</v>
      </c>
      <c r="AD10" s="15">
        <v>7130.8046654402697</v>
      </c>
      <c r="AE10" s="15">
        <v>6847.7802745455429</v>
      </c>
    </row>
    <row r="11" spans="3:31" x14ac:dyDescent="0.25">
      <c r="C11" s="14" t="s">
        <v>397</v>
      </c>
      <c r="D11" s="15">
        <v>118819.20902262737</v>
      </c>
      <c r="I11" s="14" t="s">
        <v>397</v>
      </c>
      <c r="J11" s="15">
        <v>40208.956108599719</v>
      </c>
      <c r="L11" s="14" t="s">
        <v>397</v>
      </c>
      <c r="M11" s="15">
        <v>22649.763048111512</v>
      </c>
      <c r="N11" s="15">
        <v>25342.222406185327</v>
      </c>
      <c r="O11" s="15">
        <v>27093.346209335017</v>
      </c>
      <c r="P11" s="15">
        <v>20643.148655120862</v>
      </c>
      <c r="Q11" s="15">
        <v>23090.728703874694</v>
      </c>
      <c r="S11" s="14" t="s">
        <v>396</v>
      </c>
      <c r="T11" s="16">
        <v>309</v>
      </c>
      <c r="U11" s="16">
        <v>330</v>
      </c>
      <c r="V11" s="16">
        <v>367</v>
      </c>
      <c r="W11" s="16">
        <v>323</v>
      </c>
      <c r="X11" s="16">
        <v>241</v>
      </c>
      <c r="Z11" s="14" t="s">
        <v>393</v>
      </c>
      <c r="AA11" s="15">
        <v>7860.6497165335913</v>
      </c>
      <c r="AB11" s="15">
        <v>7878.1933507126796</v>
      </c>
      <c r="AC11" s="15">
        <v>7087.4158952700518</v>
      </c>
      <c r="AD11" s="15">
        <v>7877.3870253166906</v>
      </c>
      <c r="AE11" s="15">
        <v>7880.9532970379814</v>
      </c>
    </row>
    <row r="12" spans="3:31" x14ac:dyDescent="0.25">
      <c r="C12" s="14" t="s">
        <v>398</v>
      </c>
      <c r="D12" s="15">
        <v>117373.28455754757</v>
      </c>
      <c r="F12" s="13" t="s">
        <v>385</v>
      </c>
      <c r="G12" t="s">
        <v>386</v>
      </c>
      <c r="I12" s="14" t="s">
        <v>398</v>
      </c>
      <c r="J12" s="15">
        <v>34675.627874666083</v>
      </c>
      <c r="L12" s="14" t="s">
        <v>396</v>
      </c>
      <c r="M12" s="15">
        <v>24241.380250554299</v>
      </c>
      <c r="N12" s="15">
        <v>18767.837168222672</v>
      </c>
      <c r="O12" s="15">
        <v>24115.321380450834</v>
      </c>
      <c r="P12" s="15">
        <v>19670.858130883447</v>
      </c>
      <c r="Q12" s="15">
        <v>22815.517322412932</v>
      </c>
      <c r="S12" s="14" t="s">
        <v>397</v>
      </c>
      <c r="T12" s="16">
        <v>335</v>
      </c>
      <c r="U12" s="16">
        <v>315</v>
      </c>
      <c r="V12" s="16">
        <v>273</v>
      </c>
      <c r="W12" s="16">
        <v>325</v>
      </c>
      <c r="X12" s="16">
        <v>288</v>
      </c>
      <c r="Z12" s="14" t="s">
        <v>394</v>
      </c>
      <c r="AA12" s="15">
        <v>7525.8995831404391</v>
      </c>
      <c r="AB12" s="15">
        <v>8231.862514342245</v>
      </c>
      <c r="AC12" s="15">
        <v>7481.8596237364218</v>
      </c>
      <c r="AD12" s="15">
        <v>6540.4705039616711</v>
      </c>
      <c r="AE12" s="15">
        <v>8115.1109613951994</v>
      </c>
    </row>
    <row r="13" spans="3:31" x14ac:dyDescent="0.25">
      <c r="C13" s="14" t="s">
        <v>399</v>
      </c>
      <c r="D13" s="15">
        <v>118237.9037180492</v>
      </c>
      <c r="F13" s="14" t="s">
        <v>14</v>
      </c>
      <c r="G13" s="15">
        <v>122517.77525049234</v>
      </c>
      <c r="I13" s="14" t="s">
        <v>399</v>
      </c>
      <c r="J13" s="15">
        <v>37796.761379125244</v>
      </c>
      <c r="L13" s="14" t="s">
        <v>395</v>
      </c>
      <c r="M13" s="15">
        <v>23043.496841094257</v>
      </c>
      <c r="N13" s="15">
        <v>22704.812880351143</v>
      </c>
      <c r="O13" s="15">
        <v>25041.231060712315</v>
      </c>
      <c r="P13" s="15">
        <v>21848.098248734197</v>
      </c>
      <c r="Q13" s="15">
        <v>23412.518863396119</v>
      </c>
      <c r="S13" s="14" t="s">
        <v>398</v>
      </c>
      <c r="T13" s="16">
        <v>305</v>
      </c>
      <c r="U13" s="16">
        <v>271</v>
      </c>
      <c r="V13" s="16">
        <v>299</v>
      </c>
      <c r="W13" s="16">
        <v>316</v>
      </c>
      <c r="X13" s="16">
        <v>298</v>
      </c>
      <c r="Z13" s="14" t="s">
        <v>399</v>
      </c>
      <c r="AA13" s="15">
        <v>7422.3071777720606</v>
      </c>
      <c r="AB13" s="15">
        <v>7786.9521305644557</v>
      </c>
      <c r="AC13" s="15">
        <v>6860.0327465233195</v>
      </c>
      <c r="AD13" s="15">
        <v>7582.4099218439305</v>
      </c>
      <c r="AE13" s="15">
        <v>8145.0594024214988</v>
      </c>
    </row>
    <row r="14" spans="3:31" x14ac:dyDescent="0.25">
      <c r="C14" s="14" t="s">
        <v>400</v>
      </c>
      <c r="D14" s="15">
        <v>113516.70341548642</v>
      </c>
      <c r="F14" s="14" t="s">
        <v>12</v>
      </c>
      <c r="G14" s="15">
        <v>118036.96992305122</v>
      </c>
      <c r="I14" s="14" t="s">
        <v>400</v>
      </c>
      <c r="J14" s="15">
        <v>36019.384158294946</v>
      </c>
      <c r="L14" s="14" t="s">
        <v>394</v>
      </c>
      <c r="M14" s="15">
        <v>21409.830659270367</v>
      </c>
      <c r="N14" s="15">
        <v>24319.869169448237</v>
      </c>
      <c r="O14" s="15">
        <v>24760.247750768493</v>
      </c>
      <c r="P14" s="15">
        <v>19951.020050266186</v>
      </c>
      <c r="Q14" s="15">
        <v>22023.903225580583</v>
      </c>
      <c r="S14" s="14" t="s">
        <v>399</v>
      </c>
      <c r="T14" s="16">
        <v>333</v>
      </c>
      <c r="U14" s="16">
        <v>346</v>
      </c>
      <c r="V14" s="16">
        <v>282</v>
      </c>
      <c r="W14" s="16">
        <v>314</v>
      </c>
      <c r="X14" s="16">
        <v>323</v>
      </c>
      <c r="Z14" s="14" t="s">
        <v>401</v>
      </c>
      <c r="AA14" s="15">
        <v>7244.8914100684169</v>
      </c>
      <c r="AB14" s="15">
        <v>7323.9805561804742</v>
      </c>
      <c r="AC14" s="15">
        <v>7042.9797404114688</v>
      </c>
      <c r="AD14" s="15">
        <v>7499.9830478184404</v>
      </c>
      <c r="AE14" s="15">
        <v>7232.2135775197139</v>
      </c>
    </row>
    <row r="15" spans="3:31" x14ac:dyDescent="0.25">
      <c r="C15" s="14" t="s">
        <v>401</v>
      </c>
      <c r="D15" s="15">
        <v>112236.5124956317</v>
      </c>
      <c r="F15" s="14" t="s">
        <v>8</v>
      </c>
      <c r="G15" s="15">
        <v>112126.47066239515</v>
      </c>
      <c r="I15" s="14" t="s">
        <v>401</v>
      </c>
      <c r="J15" s="15">
        <v>36344.048331998485</v>
      </c>
      <c r="L15" s="14" t="s">
        <v>393</v>
      </c>
      <c r="M15" s="15">
        <v>29561.736053857599</v>
      </c>
      <c r="N15" s="15">
        <v>24780.381961671508</v>
      </c>
      <c r="O15" s="15">
        <v>18837.62579951953</v>
      </c>
      <c r="P15" s="15">
        <v>24952.949659929858</v>
      </c>
      <c r="Q15" s="15">
        <v>23116.179352183903</v>
      </c>
      <c r="S15" s="14" t="s">
        <v>400</v>
      </c>
      <c r="T15" s="16">
        <v>300</v>
      </c>
      <c r="U15" s="16">
        <v>309</v>
      </c>
      <c r="V15" s="16">
        <v>300</v>
      </c>
      <c r="W15" s="16">
        <v>319</v>
      </c>
      <c r="X15" s="16">
        <v>341</v>
      </c>
      <c r="Z15" s="14" t="s">
        <v>400</v>
      </c>
      <c r="AA15" s="15">
        <v>7247.1623511537391</v>
      </c>
      <c r="AB15" s="15">
        <v>6208.6159354061856</v>
      </c>
      <c r="AC15" s="15">
        <v>6990.3661727655326</v>
      </c>
      <c r="AD15" s="15">
        <v>7969.854300583037</v>
      </c>
      <c r="AE15" s="15">
        <v>7603.3853983864583</v>
      </c>
    </row>
    <row r="16" spans="3:31" x14ac:dyDescent="0.25">
      <c r="C16" s="14" t="s">
        <v>402</v>
      </c>
      <c r="D16" s="15">
        <v>110519.25245412793</v>
      </c>
      <c r="F16" s="14" t="s">
        <v>10</v>
      </c>
      <c r="G16" s="15">
        <v>98973.620399875887</v>
      </c>
      <c r="I16" s="14" t="s">
        <v>402</v>
      </c>
      <c r="J16" s="15">
        <v>38710.920857349302</v>
      </c>
      <c r="L16" s="14" t="s">
        <v>392</v>
      </c>
      <c r="M16" s="15">
        <v>22637.315497914726</v>
      </c>
      <c r="N16" s="15">
        <v>17666.807668206638</v>
      </c>
      <c r="O16" s="15">
        <v>22704.078317407013</v>
      </c>
      <c r="P16" s="15">
        <v>19765.313712886564</v>
      </c>
      <c r="Q16" s="15">
        <v>22827.627789571892</v>
      </c>
      <c r="S16" s="14" t="s">
        <v>401</v>
      </c>
      <c r="T16" s="16">
        <v>273</v>
      </c>
      <c r="U16" s="16">
        <v>277</v>
      </c>
      <c r="V16" s="16">
        <v>316</v>
      </c>
      <c r="W16" s="16">
        <v>312</v>
      </c>
      <c r="X16" s="16">
        <v>283</v>
      </c>
      <c r="Z16" s="14" t="s">
        <v>398</v>
      </c>
      <c r="AA16" s="15">
        <v>6853.959485585563</v>
      </c>
      <c r="AB16" s="15">
        <v>7006.2026986291021</v>
      </c>
      <c r="AC16" s="15">
        <v>7439.7879894606567</v>
      </c>
      <c r="AD16" s="15">
        <v>6195.8108100403215</v>
      </c>
      <c r="AE16" s="15">
        <v>7179.8668909504304</v>
      </c>
    </row>
    <row r="17" spans="3:31" x14ac:dyDescent="0.25">
      <c r="C17" s="14" t="s">
        <v>387</v>
      </c>
      <c r="D17" s="15">
        <v>1374503.1713131813</v>
      </c>
      <c r="F17" s="14" t="s">
        <v>380</v>
      </c>
      <c r="G17" s="15">
        <v>2215.6009491113159</v>
      </c>
      <c r="I17" s="14" t="s">
        <v>387</v>
      </c>
      <c r="J17" s="15">
        <v>453870.43718492571</v>
      </c>
      <c r="L17" s="14" t="s">
        <v>391</v>
      </c>
      <c r="M17" s="15">
        <v>24035.727851768566</v>
      </c>
      <c r="N17" s="15">
        <v>24616.223078759853</v>
      </c>
      <c r="O17" s="15">
        <v>22796.768518010071</v>
      </c>
      <c r="P17" s="15">
        <v>25219.505697805838</v>
      </c>
      <c r="Q17" s="15">
        <v>22156.121688071555</v>
      </c>
      <c r="S17" s="14" t="s">
        <v>402</v>
      </c>
      <c r="T17" s="16">
        <v>342</v>
      </c>
      <c r="U17" s="16">
        <v>275</v>
      </c>
      <c r="V17" s="16">
        <v>277</v>
      </c>
      <c r="W17" s="16">
        <v>351</v>
      </c>
      <c r="X17" s="16">
        <v>331</v>
      </c>
      <c r="Z17" s="14" t="s">
        <v>392</v>
      </c>
      <c r="AA17" s="15">
        <v>7084.5522950991326</v>
      </c>
      <c r="AB17" s="15">
        <v>5718.0738714924692</v>
      </c>
      <c r="AC17" s="15">
        <v>7163.434848269736</v>
      </c>
      <c r="AD17" s="15">
        <v>6480.7778249482426</v>
      </c>
      <c r="AE17" s="15">
        <v>7906.2847718750718</v>
      </c>
    </row>
    <row r="18" spans="3:31" x14ac:dyDescent="0.25">
      <c r="F18" s="14" t="s">
        <v>387</v>
      </c>
      <c r="G18" s="15">
        <v>453870.43718492589</v>
      </c>
      <c r="L18" s="14" t="s">
        <v>387</v>
      </c>
      <c r="M18" s="15">
        <v>288567.50112968317</v>
      </c>
      <c r="N18" s="15">
        <v>270933.79541750997</v>
      </c>
      <c r="O18" s="15">
        <v>287955.88206196338</v>
      </c>
      <c r="P18" s="15">
        <v>268795.8679641796</v>
      </c>
      <c r="Q18" s="15">
        <v>258250.12473984534</v>
      </c>
      <c r="S18" s="14" t="s">
        <v>387</v>
      </c>
      <c r="T18" s="16">
        <v>3749</v>
      </c>
      <c r="U18" s="16">
        <v>3641</v>
      </c>
      <c r="V18" s="16">
        <v>3618</v>
      </c>
      <c r="W18" s="16">
        <v>3788</v>
      </c>
      <c r="X18" s="16">
        <v>3552</v>
      </c>
      <c r="Z18" s="14" t="s">
        <v>387</v>
      </c>
      <c r="AA18" s="15">
        <v>92393.043496460348</v>
      </c>
      <c r="AB18" s="15">
        <v>90082.119919966906</v>
      </c>
      <c r="AC18" s="15">
        <v>91263.269240688867</v>
      </c>
      <c r="AD18" s="15">
        <v>87829.60463464279</v>
      </c>
      <c r="AE18" s="15">
        <v>92302.399893166948</v>
      </c>
    </row>
    <row r="20" spans="3:31" x14ac:dyDescent="0.25">
      <c r="C20" s="13" t="s">
        <v>385</v>
      </c>
      <c r="D20" t="s">
        <v>389</v>
      </c>
    </row>
    <row r="21" spans="3:31" x14ac:dyDescent="0.25">
      <c r="C21" s="14" t="s">
        <v>12</v>
      </c>
      <c r="D21" s="15">
        <v>4791</v>
      </c>
    </row>
    <row r="22" spans="3:31" x14ac:dyDescent="0.25">
      <c r="C22" s="14" t="s">
        <v>8</v>
      </c>
      <c r="D22" s="15">
        <v>4699</v>
      </c>
    </row>
    <row r="23" spans="3:31" x14ac:dyDescent="0.25">
      <c r="C23" s="14" t="s">
        <v>14</v>
      </c>
      <c r="D23" s="15">
        <v>4678</v>
      </c>
    </row>
    <row r="24" spans="3:31" x14ac:dyDescent="0.25">
      <c r="C24" s="14" t="s">
        <v>10</v>
      </c>
      <c r="D24" s="15">
        <v>4123</v>
      </c>
    </row>
    <row r="25" spans="3:31" x14ac:dyDescent="0.25">
      <c r="C25" s="14" t="s">
        <v>380</v>
      </c>
      <c r="D25" s="15">
        <v>57</v>
      </c>
    </row>
    <row r="26" spans="3:31" x14ac:dyDescent="0.25">
      <c r="C26" s="14" t="s">
        <v>387</v>
      </c>
      <c r="D26" s="15">
        <v>18348</v>
      </c>
    </row>
  </sheetData>
  <conditionalFormatting pivot="1" sqref="D5:D16">
    <cfRule type="colorScale" priority="19">
      <colorScale>
        <cfvo type="min"/>
        <cfvo type="percentile" val="50"/>
        <cfvo type="max"/>
        <color rgb="FFF8696B"/>
        <color rgb="FFFFEB84"/>
        <color rgb="FF63BE7B"/>
      </colorScale>
    </cfRule>
  </conditionalFormatting>
  <conditionalFormatting pivot="1" sqref="G5:G9">
    <cfRule type="colorScale" priority="17">
      <colorScale>
        <cfvo type="min"/>
        <cfvo type="percentile" val="50"/>
        <cfvo type="max"/>
        <color rgb="FFF8696B"/>
        <color rgb="FFFFEB84"/>
        <color rgb="FF63BE7B"/>
      </colorScale>
    </cfRule>
  </conditionalFormatting>
  <conditionalFormatting pivot="1" sqref="G13:G17">
    <cfRule type="colorScale" priority="15">
      <colorScale>
        <cfvo type="min"/>
        <cfvo type="percentile" val="50"/>
        <cfvo type="max"/>
        <color rgb="FFF8696B"/>
        <color rgb="FFFFEB84"/>
        <color rgb="FF63BE7B"/>
      </colorScale>
    </cfRule>
  </conditionalFormatting>
  <conditionalFormatting pivot="1" sqref="J5:J16">
    <cfRule type="colorScale" priority="13">
      <colorScale>
        <cfvo type="min"/>
        <cfvo type="percentile" val="50"/>
        <cfvo type="max"/>
        <color rgb="FFF8696B"/>
        <color rgb="FFFFEB84"/>
        <color rgb="FF63BE7B"/>
      </colorScale>
    </cfRule>
  </conditionalFormatting>
  <conditionalFormatting pivot="1" sqref="M6:Q17">
    <cfRule type="colorScale" priority="11">
      <colorScale>
        <cfvo type="min"/>
        <cfvo type="percentile" val="50"/>
        <cfvo type="max"/>
        <color rgb="FFF8696B"/>
        <color rgb="FFFFEB84"/>
        <color rgb="FF63BE7B"/>
      </colorScale>
    </cfRule>
  </conditionalFormatting>
  <conditionalFormatting pivot="1" sqref="AA6:AE17">
    <cfRule type="colorScale" priority="9">
      <colorScale>
        <cfvo type="min"/>
        <cfvo type="percentile" val="50"/>
        <cfvo type="max"/>
        <color rgb="FFF8696B"/>
        <color rgb="FFFFEB84"/>
        <color rgb="FF63BE7B"/>
      </colorScale>
    </cfRule>
  </conditionalFormatting>
  <conditionalFormatting pivot="1" sqref="AA18:AE18">
    <cfRule type="iconSet" priority="8">
      <iconSet iconSet="3Symbols">
        <cfvo type="percent" val="0"/>
        <cfvo type="percent" val="33"/>
        <cfvo type="percent" val="67"/>
      </iconSet>
    </cfRule>
  </conditionalFormatting>
  <conditionalFormatting pivot="1" sqref="M18:Q18">
    <cfRule type="iconSet" priority="7">
      <iconSet iconSet="3Symbols">
        <cfvo type="percent" val="0"/>
        <cfvo type="percent" val="33"/>
        <cfvo type="percent" val="67"/>
      </iconSet>
    </cfRule>
  </conditionalFormatting>
  <conditionalFormatting pivot="1" sqref="T6:X17">
    <cfRule type="colorScale" priority="4">
      <colorScale>
        <cfvo type="min"/>
        <cfvo type="percentile" val="50"/>
        <cfvo type="max"/>
        <color rgb="FFF8696B"/>
        <color rgb="FFFFEB84"/>
        <color rgb="FF63BE7B"/>
      </colorScale>
    </cfRule>
  </conditionalFormatting>
  <conditionalFormatting pivot="1" sqref="T18:X18">
    <cfRule type="iconSet" priority="3">
      <iconSet iconSet="3Symbols">
        <cfvo type="percent" val="0"/>
        <cfvo type="percent" val="33"/>
        <cfvo type="percent" val="67"/>
      </iconSet>
    </cfRule>
  </conditionalFormatting>
  <conditionalFormatting pivot="1" sqref="D21:D24">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E810D-F79C-40BB-9DA8-DAFB3FC4DD3D}">
  <sheetPr>
    <tabColor theme="6" tint="0.39997558519241921"/>
  </sheetPr>
  <dimension ref="A1"/>
  <sheetViews>
    <sheetView showGridLines="0" tabSelected="1" zoomScale="81" workbookViewId="0">
      <selection activeCell="AA30" sqref="AA30"/>
    </sheetView>
  </sheetViews>
  <sheetFormatPr defaultRowHeight="15" x14ac:dyDescent="0.25"/>
  <cols>
    <col min="1" max="16384" width="9.140625" style="1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Retail Sales</vt:lpstr>
      <vt:lpstr>Calculations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Mpho Sello</cp:lastModifiedBy>
  <dcterms:created xsi:type="dcterms:W3CDTF">2026-09-15T15:55:03Z</dcterms:created>
  <dcterms:modified xsi:type="dcterms:W3CDTF">2026-09-27T08:38:55Z</dcterms:modified>
</cp:coreProperties>
</file>